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ownloadsWEB\Downloads\"/>
    </mc:Choice>
  </mc:AlternateContent>
  <xr:revisionPtr revIDLastSave="0" documentId="13_ncr:1_{7FB67586-4C6D-437D-BF54-27D773D8DB45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OUTUBRO" sheetId="1" r:id="rId1"/>
  </sheets>
  <definedNames>
    <definedName name="__xlfn_IFERROR">#N/A</definedName>
    <definedName name="_xlnm._FilterDatabase" localSheetId="0" hidden="1">OUTUBRO!$A$3:$V$127</definedName>
  </definedNames>
  <calcPr calcId="191029"/>
</workbook>
</file>

<file path=xl/calcChain.xml><?xml version="1.0" encoding="utf-8"?>
<calcChain xmlns="http://schemas.openxmlformats.org/spreadsheetml/2006/main">
  <c r="L44" i="1" l="1"/>
  <c r="L45" i="1"/>
  <c r="L46" i="1"/>
  <c r="L47" i="1"/>
  <c r="L120" i="1"/>
  <c r="H5" i="1" l="1"/>
  <c r="J5" i="1" s="1"/>
  <c r="T5" i="1" s="1"/>
  <c r="S5" i="1" s="1"/>
  <c r="H6" i="1"/>
  <c r="J6" i="1" s="1"/>
  <c r="T6" i="1" s="1"/>
  <c r="S6" i="1" s="1"/>
  <c r="H7" i="1"/>
  <c r="J7" i="1" s="1"/>
  <c r="T7" i="1" s="1"/>
  <c r="S7" i="1" s="1"/>
  <c r="H8" i="1"/>
  <c r="J8" i="1" s="1"/>
  <c r="T8" i="1" s="1"/>
  <c r="S8" i="1" s="1"/>
  <c r="H9" i="1"/>
  <c r="J9" i="1" s="1"/>
  <c r="T9" i="1" s="1"/>
  <c r="S9" i="1" s="1"/>
  <c r="H10" i="1"/>
  <c r="J10" i="1" s="1"/>
  <c r="T10" i="1" s="1"/>
  <c r="S10" i="1" s="1"/>
  <c r="H11" i="1"/>
  <c r="J11" i="1" s="1"/>
  <c r="T11" i="1" s="1"/>
  <c r="S11" i="1" s="1"/>
  <c r="H12" i="1"/>
  <c r="J12" i="1" s="1"/>
  <c r="T12" i="1" s="1"/>
  <c r="S12" i="1" s="1"/>
  <c r="H13" i="1"/>
  <c r="J13" i="1" s="1"/>
  <c r="T13" i="1" s="1"/>
  <c r="S13" i="1" s="1"/>
  <c r="H14" i="1"/>
  <c r="J14" i="1" s="1"/>
  <c r="T14" i="1" s="1"/>
  <c r="S14" i="1" s="1"/>
  <c r="H15" i="1"/>
  <c r="J15" i="1" s="1"/>
  <c r="T15" i="1" s="1"/>
  <c r="S15" i="1" s="1"/>
  <c r="H16" i="1"/>
  <c r="J16" i="1" s="1"/>
  <c r="T16" i="1" s="1"/>
  <c r="S16" i="1" s="1"/>
  <c r="H17" i="1"/>
  <c r="J17" i="1" s="1"/>
  <c r="T17" i="1" s="1"/>
  <c r="S17" i="1" s="1"/>
  <c r="H18" i="1"/>
  <c r="J18" i="1" s="1"/>
  <c r="T18" i="1" s="1"/>
  <c r="S18" i="1" s="1"/>
  <c r="H19" i="1"/>
  <c r="J19" i="1" s="1"/>
  <c r="T19" i="1" s="1"/>
  <c r="S19" i="1" s="1"/>
  <c r="H20" i="1"/>
  <c r="J20" i="1" s="1"/>
  <c r="T20" i="1" s="1"/>
  <c r="S20" i="1" s="1"/>
  <c r="H21" i="1"/>
  <c r="J21" i="1" s="1"/>
  <c r="T21" i="1" s="1"/>
  <c r="S21" i="1" s="1"/>
  <c r="H22" i="1"/>
  <c r="J22" i="1" s="1"/>
  <c r="T22" i="1" s="1"/>
  <c r="S22" i="1" s="1"/>
  <c r="H23" i="1"/>
  <c r="J23" i="1" s="1"/>
  <c r="T23" i="1" s="1"/>
  <c r="S23" i="1" s="1"/>
  <c r="H24" i="1"/>
  <c r="J24" i="1" s="1"/>
  <c r="T24" i="1" s="1"/>
  <c r="S24" i="1" s="1"/>
  <c r="H25" i="1"/>
  <c r="J25" i="1" s="1"/>
  <c r="T25" i="1" s="1"/>
  <c r="S25" i="1" s="1"/>
  <c r="H26" i="1"/>
  <c r="J26" i="1" s="1"/>
  <c r="T26" i="1" s="1"/>
  <c r="S26" i="1" s="1"/>
  <c r="H27" i="1"/>
  <c r="J27" i="1" s="1"/>
  <c r="T27" i="1" s="1"/>
  <c r="S27" i="1" s="1"/>
  <c r="H28" i="1"/>
  <c r="J28" i="1" s="1"/>
  <c r="T28" i="1" s="1"/>
  <c r="S28" i="1" s="1"/>
  <c r="H29" i="1"/>
  <c r="J29" i="1" s="1"/>
  <c r="T29" i="1" s="1"/>
  <c r="S29" i="1" s="1"/>
  <c r="H30" i="1"/>
  <c r="J30" i="1" s="1"/>
  <c r="T30" i="1" s="1"/>
  <c r="S30" i="1" s="1"/>
  <c r="H31" i="1"/>
  <c r="J31" i="1" s="1"/>
  <c r="T31" i="1" s="1"/>
  <c r="S31" i="1" s="1"/>
  <c r="H32" i="1"/>
  <c r="J32" i="1" s="1"/>
  <c r="T32" i="1" s="1"/>
  <c r="S32" i="1" s="1"/>
  <c r="H33" i="1"/>
  <c r="J33" i="1" s="1"/>
  <c r="T33" i="1" s="1"/>
  <c r="S33" i="1" s="1"/>
  <c r="H34" i="1"/>
  <c r="J34" i="1" s="1"/>
  <c r="T34" i="1" s="1"/>
  <c r="S34" i="1" s="1"/>
  <c r="H35" i="1"/>
  <c r="J35" i="1" s="1"/>
  <c r="T35" i="1" s="1"/>
  <c r="S35" i="1" s="1"/>
  <c r="H36" i="1"/>
  <c r="J36" i="1" s="1"/>
  <c r="T36" i="1" s="1"/>
  <c r="S36" i="1" s="1"/>
  <c r="H37" i="1"/>
  <c r="J37" i="1" s="1"/>
  <c r="T37" i="1" s="1"/>
  <c r="S37" i="1" s="1"/>
  <c r="H38" i="1"/>
  <c r="J38" i="1" s="1"/>
  <c r="T38" i="1" s="1"/>
  <c r="S38" i="1" s="1"/>
  <c r="H39" i="1"/>
  <c r="J39" i="1" s="1"/>
  <c r="T39" i="1" s="1"/>
  <c r="S39" i="1" s="1"/>
  <c r="H40" i="1"/>
  <c r="J40" i="1" s="1"/>
  <c r="T40" i="1" s="1"/>
  <c r="S40" i="1" s="1"/>
  <c r="H41" i="1"/>
  <c r="J41" i="1" s="1"/>
  <c r="T41" i="1" s="1"/>
  <c r="S41" i="1" s="1"/>
  <c r="H42" i="1"/>
  <c r="J42" i="1" s="1"/>
  <c r="T42" i="1" s="1"/>
  <c r="S42" i="1" s="1"/>
  <c r="H43" i="1"/>
  <c r="J43" i="1" s="1"/>
  <c r="T43" i="1" s="1"/>
  <c r="S43" i="1" s="1"/>
  <c r="H44" i="1"/>
  <c r="J44" i="1" s="1"/>
  <c r="T44" i="1" s="1"/>
  <c r="S44" i="1" s="1"/>
  <c r="H45" i="1"/>
  <c r="J45" i="1" s="1"/>
  <c r="T45" i="1" s="1"/>
  <c r="S45" i="1" s="1"/>
  <c r="H46" i="1"/>
  <c r="J46" i="1" s="1"/>
  <c r="T46" i="1" s="1"/>
  <c r="S46" i="1" s="1"/>
  <c r="H47" i="1"/>
  <c r="J47" i="1" s="1"/>
  <c r="T47" i="1" s="1"/>
  <c r="S47" i="1" s="1"/>
  <c r="H48" i="1"/>
  <c r="J48" i="1" s="1"/>
  <c r="T48" i="1" s="1"/>
  <c r="S48" i="1" s="1"/>
  <c r="H49" i="1"/>
  <c r="J49" i="1" s="1"/>
  <c r="T49" i="1" s="1"/>
  <c r="S49" i="1" s="1"/>
  <c r="H50" i="1"/>
  <c r="J50" i="1" s="1"/>
  <c r="T50" i="1" s="1"/>
  <c r="S50" i="1" s="1"/>
  <c r="H51" i="1"/>
  <c r="J51" i="1" s="1"/>
  <c r="T51" i="1" s="1"/>
  <c r="S51" i="1" s="1"/>
  <c r="H52" i="1"/>
  <c r="J52" i="1" s="1"/>
  <c r="T52" i="1" s="1"/>
  <c r="S52" i="1" s="1"/>
  <c r="H53" i="1"/>
  <c r="J53" i="1" s="1"/>
  <c r="T53" i="1" s="1"/>
  <c r="S53" i="1" s="1"/>
  <c r="H54" i="1"/>
  <c r="J54" i="1" s="1"/>
  <c r="T54" i="1" s="1"/>
  <c r="S54" i="1" s="1"/>
  <c r="H55" i="1"/>
  <c r="J55" i="1" s="1"/>
  <c r="T55" i="1" s="1"/>
  <c r="S55" i="1" s="1"/>
  <c r="H56" i="1"/>
  <c r="J56" i="1" s="1"/>
  <c r="T56" i="1" s="1"/>
  <c r="S56" i="1" s="1"/>
  <c r="H57" i="1"/>
  <c r="J57" i="1" s="1"/>
  <c r="T57" i="1" s="1"/>
  <c r="S57" i="1" s="1"/>
  <c r="H58" i="1"/>
  <c r="J58" i="1" s="1"/>
  <c r="T58" i="1" s="1"/>
  <c r="S58" i="1" s="1"/>
  <c r="H59" i="1"/>
  <c r="J59" i="1" s="1"/>
  <c r="T59" i="1" s="1"/>
  <c r="S59" i="1" s="1"/>
  <c r="H60" i="1"/>
  <c r="J60" i="1" s="1"/>
  <c r="T60" i="1" s="1"/>
  <c r="S60" i="1" s="1"/>
  <c r="H61" i="1"/>
  <c r="J61" i="1" s="1"/>
  <c r="T61" i="1" s="1"/>
  <c r="S61" i="1" s="1"/>
  <c r="H62" i="1"/>
  <c r="J62" i="1" s="1"/>
  <c r="T62" i="1" s="1"/>
  <c r="S62" i="1" s="1"/>
  <c r="H63" i="1"/>
  <c r="J63" i="1" s="1"/>
  <c r="T63" i="1" s="1"/>
  <c r="S63" i="1" s="1"/>
  <c r="H64" i="1"/>
  <c r="J64" i="1" s="1"/>
  <c r="T64" i="1" s="1"/>
  <c r="S64" i="1" s="1"/>
  <c r="H65" i="1"/>
  <c r="J65" i="1" s="1"/>
  <c r="T65" i="1" s="1"/>
  <c r="S65" i="1" s="1"/>
  <c r="H66" i="1"/>
  <c r="J66" i="1" s="1"/>
  <c r="T66" i="1" s="1"/>
  <c r="S66" i="1" s="1"/>
  <c r="H67" i="1"/>
  <c r="J67" i="1" s="1"/>
  <c r="T67" i="1" s="1"/>
  <c r="S67" i="1" s="1"/>
  <c r="H68" i="1"/>
  <c r="J68" i="1" s="1"/>
  <c r="T68" i="1" s="1"/>
  <c r="S68" i="1" s="1"/>
  <c r="H69" i="1"/>
  <c r="J69" i="1" s="1"/>
  <c r="T69" i="1" s="1"/>
  <c r="S69" i="1" s="1"/>
  <c r="H70" i="1"/>
  <c r="J70" i="1" s="1"/>
  <c r="T70" i="1" s="1"/>
  <c r="S70" i="1" s="1"/>
  <c r="H71" i="1"/>
  <c r="J71" i="1" s="1"/>
  <c r="T71" i="1" s="1"/>
  <c r="S71" i="1" s="1"/>
  <c r="H72" i="1"/>
  <c r="J72" i="1" s="1"/>
  <c r="T72" i="1" s="1"/>
  <c r="S72" i="1" s="1"/>
  <c r="H73" i="1"/>
  <c r="J73" i="1" s="1"/>
  <c r="T73" i="1" s="1"/>
  <c r="S73" i="1" s="1"/>
  <c r="H74" i="1"/>
  <c r="J74" i="1" s="1"/>
  <c r="T74" i="1" s="1"/>
  <c r="S74" i="1" s="1"/>
  <c r="H75" i="1"/>
  <c r="J75" i="1" s="1"/>
  <c r="T75" i="1" s="1"/>
  <c r="S75" i="1" s="1"/>
  <c r="H76" i="1"/>
  <c r="J76" i="1" s="1"/>
  <c r="T76" i="1" s="1"/>
  <c r="S76" i="1" s="1"/>
  <c r="H77" i="1"/>
  <c r="J77" i="1" s="1"/>
  <c r="T77" i="1" s="1"/>
  <c r="S77" i="1" s="1"/>
  <c r="H78" i="1"/>
  <c r="J78" i="1" s="1"/>
  <c r="T78" i="1" s="1"/>
  <c r="S78" i="1" s="1"/>
  <c r="H79" i="1"/>
  <c r="J79" i="1" s="1"/>
  <c r="T79" i="1" s="1"/>
  <c r="S79" i="1" s="1"/>
  <c r="H80" i="1"/>
  <c r="J80" i="1" s="1"/>
  <c r="T80" i="1" s="1"/>
  <c r="S80" i="1" s="1"/>
  <c r="H81" i="1"/>
  <c r="J81" i="1" s="1"/>
  <c r="T81" i="1" s="1"/>
  <c r="S81" i="1" s="1"/>
  <c r="H82" i="1"/>
  <c r="J82" i="1" s="1"/>
  <c r="T82" i="1" s="1"/>
  <c r="S82" i="1" s="1"/>
  <c r="H83" i="1"/>
  <c r="J83" i="1" s="1"/>
  <c r="T83" i="1" s="1"/>
  <c r="S83" i="1" s="1"/>
  <c r="H84" i="1"/>
  <c r="J84" i="1" s="1"/>
  <c r="T84" i="1" s="1"/>
  <c r="S84" i="1" s="1"/>
  <c r="H85" i="1"/>
  <c r="J85" i="1" s="1"/>
  <c r="T85" i="1" s="1"/>
  <c r="S85" i="1" s="1"/>
  <c r="H86" i="1"/>
  <c r="J86" i="1" s="1"/>
  <c r="T86" i="1" s="1"/>
  <c r="S86" i="1" s="1"/>
  <c r="H87" i="1"/>
  <c r="J87" i="1" s="1"/>
  <c r="T87" i="1" s="1"/>
  <c r="S87" i="1" s="1"/>
  <c r="H88" i="1"/>
  <c r="J88" i="1" s="1"/>
  <c r="T88" i="1" s="1"/>
  <c r="S88" i="1" s="1"/>
  <c r="H89" i="1"/>
  <c r="J89" i="1" s="1"/>
  <c r="T89" i="1" s="1"/>
  <c r="S89" i="1" s="1"/>
  <c r="H90" i="1"/>
  <c r="J90" i="1" s="1"/>
  <c r="T90" i="1" s="1"/>
  <c r="S90" i="1" s="1"/>
  <c r="H91" i="1"/>
  <c r="J91" i="1" s="1"/>
  <c r="T91" i="1" s="1"/>
  <c r="S91" i="1" s="1"/>
  <c r="H92" i="1"/>
  <c r="J92" i="1" s="1"/>
  <c r="T92" i="1" s="1"/>
  <c r="S92" i="1" s="1"/>
  <c r="H93" i="1"/>
  <c r="J93" i="1" s="1"/>
  <c r="T93" i="1" s="1"/>
  <c r="S93" i="1" s="1"/>
  <c r="H94" i="1"/>
  <c r="J94" i="1" s="1"/>
  <c r="T94" i="1" s="1"/>
  <c r="S94" i="1" s="1"/>
  <c r="H95" i="1"/>
  <c r="J95" i="1" s="1"/>
  <c r="T95" i="1" s="1"/>
  <c r="S95" i="1" s="1"/>
  <c r="H96" i="1"/>
  <c r="J96" i="1" s="1"/>
  <c r="T96" i="1" s="1"/>
  <c r="S96" i="1" s="1"/>
  <c r="H97" i="1"/>
  <c r="J97" i="1" s="1"/>
  <c r="T97" i="1" s="1"/>
  <c r="S97" i="1" s="1"/>
  <c r="H98" i="1"/>
  <c r="J98" i="1" s="1"/>
  <c r="T98" i="1" s="1"/>
  <c r="S98" i="1" s="1"/>
  <c r="H99" i="1"/>
  <c r="J99" i="1" s="1"/>
  <c r="T99" i="1" s="1"/>
  <c r="S99" i="1" s="1"/>
  <c r="H100" i="1"/>
  <c r="J100" i="1" s="1"/>
  <c r="T100" i="1" s="1"/>
  <c r="S100" i="1" s="1"/>
  <c r="H101" i="1"/>
  <c r="J101" i="1" s="1"/>
  <c r="T101" i="1" s="1"/>
  <c r="S101" i="1" s="1"/>
  <c r="H102" i="1"/>
  <c r="J102" i="1" s="1"/>
  <c r="T102" i="1" s="1"/>
  <c r="H103" i="1"/>
  <c r="J103" i="1" s="1"/>
  <c r="T103" i="1" s="1"/>
  <c r="S103" i="1" s="1"/>
  <c r="H104" i="1"/>
  <c r="J104" i="1" s="1"/>
  <c r="T104" i="1" s="1"/>
  <c r="S104" i="1" s="1"/>
  <c r="H105" i="1"/>
  <c r="J105" i="1" s="1"/>
  <c r="T105" i="1" s="1"/>
  <c r="S105" i="1" s="1"/>
  <c r="H106" i="1"/>
  <c r="J106" i="1" s="1"/>
  <c r="T106" i="1" s="1"/>
  <c r="S106" i="1" s="1"/>
  <c r="H107" i="1"/>
  <c r="J107" i="1" s="1"/>
  <c r="T107" i="1" s="1"/>
  <c r="S107" i="1" s="1"/>
  <c r="H108" i="1"/>
  <c r="J108" i="1" s="1"/>
  <c r="T108" i="1" s="1"/>
  <c r="S108" i="1" s="1"/>
  <c r="H109" i="1"/>
  <c r="J109" i="1" s="1"/>
  <c r="T109" i="1" s="1"/>
  <c r="S109" i="1" s="1"/>
  <c r="H110" i="1"/>
  <c r="J110" i="1" s="1"/>
  <c r="T110" i="1" s="1"/>
  <c r="S110" i="1" s="1"/>
  <c r="H111" i="1"/>
  <c r="J111" i="1" s="1"/>
  <c r="T111" i="1" s="1"/>
  <c r="S111" i="1" s="1"/>
  <c r="H112" i="1"/>
  <c r="J112" i="1" s="1"/>
  <c r="T112" i="1" s="1"/>
  <c r="S112" i="1" s="1"/>
  <c r="H113" i="1"/>
  <c r="J113" i="1" s="1"/>
  <c r="T113" i="1" s="1"/>
  <c r="S113" i="1" s="1"/>
  <c r="H114" i="1"/>
  <c r="J114" i="1" s="1"/>
  <c r="T114" i="1" s="1"/>
  <c r="S114" i="1" s="1"/>
  <c r="H115" i="1"/>
  <c r="J115" i="1" s="1"/>
  <c r="T115" i="1" s="1"/>
  <c r="S115" i="1" s="1"/>
  <c r="H116" i="1"/>
  <c r="J116" i="1" s="1"/>
  <c r="T116" i="1" s="1"/>
  <c r="S116" i="1" s="1"/>
  <c r="H117" i="1"/>
  <c r="J117" i="1" s="1"/>
  <c r="T117" i="1" s="1"/>
  <c r="S117" i="1" s="1"/>
  <c r="H118" i="1"/>
  <c r="J118" i="1" s="1"/>
  <c r="T118" i="1" s="1"/>
  <c r="S118" i="1" s="1"/>
  <c r="H119" i="1"/>
  <c r="J119" i="1" s="1"/>
  <c r="T119" i="1" s="1"/>
  <c r="S119" i="1" s="1"/>
  <c r="H120" i="1"/>
  <c r="J120" i="1" s="1"/>
  <c r="T120" i="1" s="1"/>
  <c r="S120" i="1" s="1"/>
  <c r="H121" i="1"/>
  <c r="J121" i="1" s="1"/>
  <c r="T121" i="1" s="1"/>
  <c r="S121" i="1" s="1"/>
  <c r="H122" i="1"/>
  <c r="J122" i="1" s="1"/>
  <c r="T122" i="1" s="1"/>
  <c r="S122" i="1" s="1"/>
  <c r="H123" i="1"/>
  <c r="J123" i="1" s="1"/>
  <c r="T123" i="1" s="1"/>
  <c r="S123" i="1" s="1"/>
  <c r="H124" i="1"/>
  <c r="J124" i="1" s="1"/>
  <c r="T124" i="1" s="1"/>
  <c r="S124" i="1" s="1"/>
  <c r="H125" i="1"/>
  <c r="J125" i="1" s="1"/>
  <c r="T125" i="1" s="1"/>
  <c r="S125" i="1" s="1"/>
  <c r="H127" i="1"/>
  <c r="H4" i="1"/>
  <c r="B132" i="1"/>
  <c r="A132" i="1"/>
  <c r="M125" i="1"/>
  <c r="N125" i="1" s="1"/>
  <c r="L125" i="1"/>
  <c r="F125" i="1"/>
  <c r="M124" i="1"/>
  <c r="N124" i="1" s="1"/>
  <c r="L124" i="1"/>
  <c r="F124" i="1"/>
  <c r="M123" i="1"/>
  <c r="N123" i="1" s="1"/>
  <c r="L123" i="1"/>
  <c r="F123" i="1"/>
  <c r="M122" i="1"/>
  <c r="N122" i="1" s="1"/>
  <c r="L122" i="1"/>
  <c r="F122" i="1"/>
  <c r="M121" i="1"/>
  <c r="N121" i="1" s="1"/>
  <c r="L121" i="1"/>
  <c r="F121" i="1"/>
  <c r="M120" i="1"/>
  <c r="N120" i="1" s="1"/>
  <c r="F120" i="1"/>
  <c r="M119" i="1"/>
  <c r="N119" i="1" s="1"/>
  <c r="L119" i="1"/>
  <c r="F119" i="1"/>
  <c r="M118" i="1"/>
  <c r="N118" i="1" s="1"/>
  <c r="L118" i="1"/>
  <c r="F118" i="1"/>
  <c r="M117" i="1"/>
  <c r="N117" i="1" s="1"/>
  <c r="L117" i="1"/>
  <c r="F117" i="1"/>
  <c r="M116" i="1"/>
  <c r="N116" i="1" s="1"/>
  <c r="L116" i="1"/>
  <c r="F116" i="1"/>
  <c r="M115" i="1"/>
  <c r="N115" i="1" s="1"/>
  <c r="L115" i="1"/>
  <c r="F115" i="1"/>
  <c r="M114" i="1"/>
  <c r="N114" i="1" s="1"/>
  <c r="L114" i="1"/>
  <c r="F114" i="1"/>
  <c r="M113" i="1"/>
  <c r="N113" i="1" s="1"/>
  <c r="L113" i="1"/>
  <c r="F113" i="1"/>
  <c r="N112" i="1"/>
  <c r="L112" i="1"/>
  <c r="F112" i="1"/>
  <c r="N111" i="1"/>
  <c r="L111" i="1"/>
  <c r="F111" i="1"/>
  <c r="M110" i="1"/>
  <c r="N110" i="1" s="1"/>
  <c r="L110" i="1"/>
  <c r="F110" i="1"/>
  <c r="M109" i="1"/>
  <c r="N109" i="1" s="1"/>
  <c r="L109" i="1"/>
  <c r="F109" i="1"/>
  <c r="M108" i="1"/>
  <c r="N108" i="1" s="1"/>
  <c r="L108" i="1"/>
  <c r="F108" i="1"/>
  <c r="M107" i="1"/>
  <c r="N107" i="1" s="1"/>
  <c r="L107" i="1"/>
  <c r="F107" i="1"/>
  <c r="M106" i="1"/>
  <c r="N106" i="1" s="1"/>
  <c r="L106" i="1"/>
  <c r="F106" i="1"/>
  <c r="M105" i="1"/>
  <c r="N105" i="1" s="1"/>
  <c r="L105" i="1"/>
  <c r="F105" i="1"/>
  <c r="M104" i="1"/>
  <c r="N104" i="1" s="1"/>
  <c r="L104" i="1"/>
  <c r="F104" i="1"/>
  <c r="M103" i="1"/>
  <c r="N103" i="1" s="1"/>
  <c r="L103" i="1"/>
  <c r="F103" i="1"/>
  <c r="N102" i="1"/>
  <c r="L102" i="1"/>
  <c r="F102" i="1"/>
  <c r="N101" i="1"/>
  <c r="L101" i="1"/>
  <c r="F101" i="1"/>
  <c r="M100" i="1"/>
  <c r="N100" i="1" s="1"/>
  <c r="L100" i="1"/>
  <c r="F100" i="1"/>
  <c r="M99" i="1"/>
  <c r="N99" i="1" s="1"/>
  <c r="L99" i="1"/>
  <c r="F99" i="1"/>
  <c r="M98" i="1"/>
  <c r="N98" i="1" s="1"/>
  <c r="L98" i="1"/>
  <c r="F98" i="1"/>
  <c r="M97" i="1"/>
  <c r="N97" i="1" s="1"/>
  <c r="L97" i="1"/>
  <c r="F97" i="1"/>
  <c r="N96" i="1"/>
  <c r="L96" i="1"/>
  <c r="F96" i="1"/>
  <c r="M95" i="1"/>
  <c r="N95" i="1" s="1"/>
  <c r="L95" i="1"/>
  <c r="F95" i="1"/>
  <c r="N94" i="1"/>
  <c r="L94" i="1"/>
  <c r="F94" i="1"/>
  <c r="M93" i="1"/>
  <c r="N93" i="1" s="1"/>
  <c r="L93" i="1"/>
  <c r="F93" i="1"/>
  <c r="N92" i="1"/>
  <c r="L92" i="1"/>
  <c r="F92" i="1"/>
  <c r="N91" i="1"/>
  <c r="L91" i="1"/>
  <c r="F91" i="1"/>
  <c r="M90" i="1"/>
  <c r="N90" i="1" s="1"/>
  <c r="L90" i="1"/>
  <c r="F90" i="1"/>
  <c r="M89" i="1"/>
  <c r="N89" i="1" s="1"/>
  <c r="L89" i="1"/>
  <c r="F89" i="1"/>
  <c r="M88" i="1"/>
  <c r="N88" i="1" s="1"/>
  <c r="L88" i="1"/>
  <c r="F88" i="1"/>
  <c r="M87" i="1"/>
  <c r="N87" i="1" s="1"/>
  <c r="L87" i="1"/>
  <c r="F87" i="1"/>
  <c r="M86" i="1"/>
  <c r="N86" i="1" s="1"/>
  <c r="L86" i="1"/>
  <c r="F86" i="1"/>
  <c r="M85" i="1"/>
  <c r="N85" i="1" s="1"/>
  <c r="L85" i="1"/>
  <c r="F85" i="1"/>
  <c r="M84" i="1"/>
  <c r="N84" i="1" s="1"/>
  <c r="L84" i="1"/>
  <c r="F84" i="1"/>
  <c r="M83" i="1"/>
  <c r="N83" i="1" s="1"/>
  <c r="L83" i="1"/>
  <c r="F83" i="1"/>
  <c r="M82" i="1"/>
  <c r="N82" i="1" s="1"/>
  <c r="L82" i="1"/>
  <c r="F82" i="1"/>
  <c r="N81" i="1"/>
  <c r="L81" i="1"/>
  <c r="F81" i="1"/>
  <c r="N80" i="1"/>
  <c r="L80" i="1"/>
  <c r="F80" i="1"/>
  <c r="M79" i="1"/>
  <c r="N79" i="1" s="1"/>
  <c r="L79" i="1"/>
  <c r="F79" i="1"/>
  <c r="M78" i="1"/>
  <c r="N78" i="1" s="1"/>
  <c r="L78" i="1"/>
  <c r="F78" i="1"/>
  <c r="N77" i="1"/>
  <c r="L77" i="1"/>
  <c r="F77" i="1"/>
  <c r="M76" i="1"/>
  <c r="N76" i="1" s="1"/>
  <c r="L76" i="1"/>
  <c r="F76" i="1"/>
  <c r="M75" i="1"/>
  <c r="N75" i="1" s="1"/>
  <c r="L75" i="1"/>
  <c r="F75" i="1"/>
  <c r="N74" i="1"/>
  <c r="L74" i="1"/>
  <c r="F74" i="1"/>
  <c r="N73" i="1"/>
  <c r="L73" i="1"/>
  <c r="F73" i="1"/>
  <c r="M72" i="1"/>
  <c r="N72" i="1" s="1"/>
  <c r="L72" i="1"/>
  <c r="F72" i="1"/>
  <c r="M71" i="1"/>
  <c r="N71" i="1" s="1"/>
  <c r="L71" i="1"/>
  <c r="F71" i="1"/>
  <c r="M70" i="1"/>
  <c r="N70" i="1" s="1"/>
  <c r="L70" i="1"/>
  <c r="F70" i="1"/>
  <c r="M69" i="1"/>
  <c r="N69" i="1" s="1"/>
  <c r="L69" i="1"/>
  <c r="F69" i="1"/>
  <c r="N68" i="1"/>
  <c r="L68" i="1"/>
  <c r="F68" i="1"/>
  <c r="M67" i="1"/>
  <c r="N67" i="1" s="1"/>
  <c r="L67" i="1"/>
  <c r="F67" i="1"/>
  <c r="M66" i="1"/>
  <c r="N66" i="1" s="1"/>
  <c r="L66" i="1"/>
  <c r="F66" i="1"/>
  <c r="M65" i="1"/>
  <c r="N65" i="1" s="1"/>
  <c r="L65" i="1"/>
  <c r="F65" i="1"/>
  <c r="N64" i="1"/>
  <c r="L64" i="1"/>
  <c r="F64" i="1"/>
  <c r="N63" i="1"/>
  <c r="L63" i="1"/>
  <c r="F63" i="1"/>
  <c r="N62" i="1"/>
  <c r="L62" i="1"/>
  <c r="F62" i="1"/>
  <c r="M61" i="1"/>
  <c r="N61" i="1" s="1"/>
  <c r="L61" i="1"/>
  <c r="F61" i="1"/>
  <c r="M60" i="1"/>
  <c r="N60" i="1" s="1"/>
  <c r="L60" i="1"/>
  <c r="F60" i="1"/>
  <c r="N59" i="1"/>
  <c r="L59" i="1"/>
  <c r="F59" i="1"/>
  <c r="M58" i="1"/>
  <c r="N58" i="1" s="1"/>
  <c r="L58" i="1"/>
  <c r="F58" i="1"/>
  <c r="M57" i="1"/>
  <c r="N57" i="1" s="1"/>
  <c r="L57" i="1"/>
  <c r="F57" i="1"/>
  <c r="N56" i="1"/>
  <c r="L56" i="1"/>
  <c r="F56" i="1"/>
  <c r="N55" i="1"/>
  <c r="L55" i="1"/>
  <c r="F55" i="1"/>
  <c r="M54" i="1"/>
  <c r="N54" i="1" s="1"/>
  <c r="L54" i="1"/>
  <c r="F54" i="1"/>
  <c r="M53" i="1"/>
  <c r="N53" i="1" s="1"/>
  <c r="L53" i="1"/>
  <c r="F53" i="1"/>
  <c r="M52" i="1"/>
  <c r="N52" i="1" s="1"/>
  <c r="L52" i="1"/>
  <c r="F52" i="1"/>
  <c r="M51" i="1"/>
  <c r="N51" i="1" s="1"/>
  <c r="L51" i="1"/>
  <c r="F51" i="1"/>
  <c r="M50" i="1"/>
  <c r="N50" i="1" s="1"/>
  <c r="L50" i="1"/>
  <c r="F50" i="1"/>
  <c r="M49" i="1"/>
  <c r="N49" i="1" s="1"/>
  <c r="L49" i="1"/>
  <c r="F49" i="1"/>
  <c r="N48" i="1"/>
  <c r="L48" i="1"/>
  <c r="F48" i="1"/>
  <c r="N47" i="1"/>
  <c r="F47" i="1"/>
  <c r="N46" i="1"/>
  <c r="F46" i="1"/>
  <c r="N45" i="1"/>
  <c r="F45" i="1"/>
  <c r="M44" i="1"/>
  <c r="N44" i="1" s="1"/>
  <c r="F44" i="1"/>
  <c r="M43" i="1"/>
  <c r="N43" i="1" s="1"/>
  <c r="L43" i="1"/>
  <c r="F43" i="1"/>
  <c r="M42" i="1"/>
  <c r="N42" i="1" s="1"/>
  <c r="L42" i="1"/>
  <c r="F42" i="1"/>
  <c r="M41" i="1"/>
  <c r="N41" i="1" s="1"/>
  <c r="L41" i="1"/>
  <c r="F41" i="1"/>
  <c r="M40" i="1"/>
  <c r="N40" i="1" s="1"/>
  <c r="L40" i="1"/>
  <c r="F40" i="1"/>
  <c r="N39" i="1"/>
  <c r="L39" i="1"/>
  <c r="F39" i="1"/>
  <c r="N38" i="1"/>
  <c r="L38" i="1"/>
  <c r="F38" i="1"/>
  <c r="N37" i="1"/>
  <c r="L37" i="1"/>
  <c r="F37" i="1"/>
  <c r="N36" i="1"/>
  <c r="L36" i="1"/>
  <c r="F36" i="1"/>
  <c r="M35" i="1"/>
  <c r="N35" i="1" s="1"/>
  <c r="L35" i="1"/>
  <c r="F35" i="1"/>
  <c r="M34" i="1"/>
  <c r="N34" i="1" s="1"/>
  <c r="L34" i="1"/>
  <c r="F34" i="1"/>
  <c r="M33" i="1"/>
  <c r="N33" i="1" s="1"/>
  <c r="L33" i="1"/>
  <c r="F33" i="1"/>
  <c r="N32" i="1"/>
  <c r="M32" i="1"/>
  <c r="L32" i="1"/>
  <c r="F32" i="1"/>
  <c r="M31" i="1"/>
  <c r="N31" i="1" s="1"/>
  <c r="L31" i="1"/>
  <c r="F31" i="1"/>
  <c r="M30" i="1"/>
  <c r="N30" i="1" s="1"/>
  <c r="L30" i="1"/>
  <c r="F30" i="1"/>
  <c r="N29" i="1"/>
  <c r="L29" i="1"/>
  <c r="F29" i="1"/>
  <c r="N28" i="1"/>
  <c r="L28" i="1"/>
  <c r="F28" i="1"/>
  <c r="M27" i="1"/>
  <c r="N27" i="1" s="1"/>
  <c r="L27" i="1"/>
  <c r="F27" i="1"/>
  <c r="M26" i="1"/>
  <c r="N26" i="1" s="1"/>
  <c r="L26" i="1"/>
  <c r="F26" i="1"/>
  <c r="M25" i="1"/>
  <c r="N25" i="1" s="1"/>
  <c r="L25" i="1"/>
  <c r="F25" i="1"/>
  <c r="N24" i="1"/>
  <c r="L24" i="1"/>
  <c r="F24" i="1"/>
  <c r="N23" i="1"/>
  <c r="L23" i="1"/>
  <c r="F23" i="1"/>
  <c r="N22" i="1"/>
  <c r="L22" i="1"/>
  <c r="F22" i="1"/>
  <c r="N21" i="1"/>
  <c r="L21" i="1"/>
  <c r="F21" i="1"/>
  <c r="N20" i="1"/>
  <c r="L20" i="1"/>
  <c r="F20" i="1"/>
  <c r="N19" i="1"/>
  <c r="L19" i="1"/>
  <c r="F19" i="1"/>
  <c r="N18" i="1"/>
  <c r="L18" i="1"/>
  <c r="F18" i="1"/>
  <c r="M17" i="1"/>
  <c r="N17" i="1" s="1"/>
  <c r="L17" i="1"/>
  <c r="F17" i="1"/>
  <c r="N16" i="1"/>
  <c r="L16" i="1"/>
  <c r="F16" i="1"/>
  <c r="M15" i="1"/>
  <c r="N15" i="1" s="1"/>
  <c r="L15" i="1"/>
  <c r="F15" i="1"/>
  <c r="M14" i="1"/>
  <c r="N14" i="1" s="1"/>
  <c r="L14" i="1"/>
  <c r="F14" i="1"/>
  <c r="M13" i="1"/>
  <c r="N13" i="1" s="1"/>
  <c r="L13" i="1"/>
  <c r="F13" i="1"/>
  <c r="M12" i="1"/>
  <c r="N12" i="1" s="1"/>
  <c r="L12" i="1"/>
  <c r="F12" i="1"/>
  <c r="M11" i="1"/>
  <c r="N11" i="1" s="1"/>
  <c r="L11" i="1"/>
  <c r="F11" i="1"/>
  <c r="M10" i="1"/>
  <c r="N10" i="1" s="1"/>
  <c r="L10" i="1"/>
  <c r="F10" i="1"/>
  <c r="M9" i="1"/>
  <c r="N9" i="1" s="1"/>
  <c r="L9" i="1"/>
  <c r="F9" i="1"/>
  <c r="M8" i="1"/>
  <c r="N8" i="1" s="1"/>
  <c r="L8" i="1"/>
  <c r="F8" i="1"/>
  <c r="N7" i="1"/>
  <c r="L7" i="1"/>
  <c r="F7" i="1"/>
  <c r="N6" i="1"/>
  <c r="L6" i="1"/>
  <c r="F6" i="1"/>
  <c r="M5" i="1"/>
  <c r="N5" i="1" s="1"/>
  <c r="L5" i="1"/>
  <c r="F5" i="1"/>
  <c r="M4" i="1"/>
  <c r="N4" i="1" s="1"/>
  <c r="L4" i="1"/>
  <c r="F4" i="1"/>
  <c r="J4" i="1" l="1"/>
  <c r="T4" i="1" s="1"/>
  <c r="S102" i="1"/>
  <c r="S4" i="1" l="1"/>
  <c r="B129" i="1"/>
  <c r="D129" i="1" s="1"/>
  <c r="A129" i="1"/>
</calcChain>
</file>

<file path=xl/sharedStrings.xml><?xml version="1.0" encoding="utf-8"?>
<sst xmlns="http://schemas.openxmlformats.org/spreadsheetml/2006/main" count="388" uniqueCount="89">
  <si>
    <t>DATA RECEBIMENTO</t>
  </si>
  <si>
    <t>REPRESENTANTE</t>
  </si>
  <si>
    <t>REPRESENTADA</t>
  </si>
  <si>
    <t>VALOR MILHEIRO (1º ORÇAMENTO)</t>
  </si>
  <si>
    <t>VALOR MILHEIRO (FECHADO)</t>
  </si>
  <si>
    <t>% DE REDUÇÃO/NEGOCIAÇÃO</t>
  </si>
  <si>
    <t>DIAS ÚTEIS</t>
  </si>
  <si>
    <t>COBRANÇA 1 (máximo 5 dias)</t>
  </si>
  <si>
    <t>DATA COBRANÇA 1</t>
  </si>
  <si>
    <t>DATA COBRANÇA 2</t>
  </si>
  <si>
    <t>MOTIVO</t>
  </si>
  <si>
    <t>Nº DO ORÇAMENTO</t>
  </si>
  <si>
    <t>PEDIDO Nº  E QUANTIDADE</t>
  </si>
  <si>
    <t>DATA DA DIGITAÇÃO DO PEDIDO PELO CML</t>
  </si>
  <si>
    <t>LEADTIME HORAS CORRIDAS</t>
  </si>
  <si>
    <t>LEADTIME HORAS ÚTEIS</t>
  </si>
  <si>
    <t>VALOR PROJETADO COM O ORÇAMENTO</t>
  </si>
  <si>
    <t>OBSERVAÇÕES</t>
  </si>
  <si>
    <t>LUCEMIR</t>
  </si>
  <si>
    <t>MARCIA MARTINS</t>
  </si>
  <si>
    <t>VANESSA</t>
  </si>
  <si>
    <t>ACR</t>
  </si>
  <si>
    <t>ERONILDE</t>
  </si>
  <si>
    <t>ESCRITÓRIO AGAPE</t>
  </si>
  <si>
    <t>JISCARD</t>
  </si>
  <si>
    <t>CONCEITO ETIQUETA</t>
  </si>
  <si>
    <t>VALDEMAR</t>
  </si>
  <si>
    <t>VGONÇALVES</t>
  </si>
  <si>
    <t>VANESSA MORAIS</t>
  </si>
  <si>
    <t>LUCIANA MOTA</t>
  </si>
  <si>
    <t>REPRESENTANTE COMERCIAL</t>
  </si>
  <si>
    <t>ERICH MARQUESSOEIRO</t>
  </si>
  <si>
    <t>IANA</t>
  </si>
  <si>
    <t>CAROL REPRESENTAÇÕES</t>
  </si>
  <si>
    <t>MANOEL</t>
  </si>
  <si>
    <t>MANOEL CARLOS</t>
  </si>
  <si>
    <t>WAGNER</t>
  </si>
  <si>
    <t>WAGNER FRANÇA</t>
  </si>
  <si>
    <t>REGINA</t>
  </si>
  <si>
    <t>ÉRIKA MAIA</t>
  </si>
  <si>
    <t>COMERCIAL MARCIA MARTINS</t>
  </si>
  <si>
    <t>KELIANE</t>
  </si>
  <si>
    <t>FINANCEIRO MARCIA MARTINS</t>
  </si>
  <si>
    <t>RENATHA</t>
  </si>
  <si>
    <t>LEONARDO</t>
  </si>
  <si>
    <t>EIK REPRESENTAÇÕES</t>
  </si>
  <si>
    <t>ROSÂNGELA MARTINS</t>
  </si>
  <si>
    <t xml:space="preserve">LUIZ </t>
  </si>
  <si>
    <t>HACO</t>
  </si>
  <si>
    <t>ANDRARE CORUNHA</t>
  </si>
  <si>
    <t>JUNIOR</t>
  </si>
  <si>
    <t>CONTROLE DE FLUXO E TEMPO DE ATENDIMENTO DOS ORÇAMENTOS GRÁFICA NE</t>
  </si>
  <si>
    <t>% REALIZADO DENTRO DO 1/2 TURNO</t>
  </si>
  <si>
    <t>COMO ESTÁ NOSSO ATENDIMENTO HOJE:</t>
  </si>
  <si>
    <t>TOTAL DE ORÇAMENTOS</t>
  </si>
  <si>
    <t>TOTAL $ ORÇADO</t>
  </si>
  <si>
    <t>QTD ORÇ.  FECHADOS (ATÉ ULTIMO DIA DO MÊS)</t>
  </si>
  <si>
    <t>$ FECHADO (ATÉ ÚLTIMO DIA DO MÊS)</t>
  </si>
  <si>
    <t>27 (22%)</t>
  </si>
  <si>
    <t>R$ 129.211,00 (26%)</t>
  </si>
  <si>
    <t>HORÁRIO DE ENTREGA</t>
  </si>
  <si>
    <t>DATA DE ENTREGA COM DIAS ÚTEIS</t>
  </si>
  <si>
    <t>DATA DO ENVIO DO ORÇAMENTO ( DIAS ÚTEIS)</t>
  </si>
  <si>
    <t>DATA DO ENVIO DO ORÇAMENTO ( DIAS CORRIDOS)</t>
  </si>
  <si>
    <t>AKKOB</t>
  </si>
  <si>
    <t>RICARDO LUCENA</t>
  </si>
  <si>
    <t>VICUNHA</t>
  </si>
  <si>
    <r>
      <rPr>
        <b/>
        <sz val="26"/>
        <color rgb="FFFFFFFF"/>
        <rFont val="Calibri"/>
        <family val="2"/>
      </rPr>
      <t xml:space="preserve">              </t>
    </r>
    <r>
      <rPr>
        <b/>
        <u/>
        <sz val="26"/>
        <color rgb="FFFFFFFF"/>
        <rFont val="Calibri"/>
        <family val="2"/>
      </rPr>
      <t>CONTROLE ORÇAMENTOS GRÁFICA EUSÉBIO</t>
    </r>
  </si>
  <si>
    <t xml:space="preserve">RESPONSÁVEL </t>
  </si>
  <si>
    <t>ELZEVIR</t>
  </si>
  <si>
    <t>MARCELO LUZ</t>
  </si>
  <si>
    <t>M DE ALMEIDA LUZ</t>
  </si>
  <si>
    <t>BOSCO LUCENA</t>
  </si>
  <si>
    <t>ETICA REPRESENTAÇÕES</t>
  </si>
  <si>
    <t xml:space="preserve">IANA </t>
  </si>
  <si>
    <t>ACR REPRESENTAÇÕES</t>
  </si>
  <si>
    <t>282073 / 5.000</t>
  </si>
  <si>
    <t>280381 / 15000</t>
  </si>
  <si>
    <t>282082 / 40000</t>
  </si>
  <si>
    <t>279912 / 5000</t>
  </si>
  <si>
    <t xml:space="preserve"> 09/10/2020 16:41</t>
  </si>
  <si>
    <t>279601 / 3000</t>
  </si>
  <si>
    <t>281674 / 3000</t>
  </si>
  <si>
    <t>281704 / 17600</t>
  </si>
  <si>
    <t>279922 / 5000</t>
  </si>
  <si>
    <t>281708 / 15400</t>
  </si>
  <si>
    <t>277566 / 15000</t>
  </si>
  <si>
    <t>28281 / 3000</t>
  </si>
  <si>
    <t>281870 / 3000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</si>
</sst>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/m/yy&quot; &quot;hh&quot;:&quot;mm"/>
    <numFmt numFmtId="165" formatCode="[$R$-416]&quot; &quot;#,##0.00"/>
    <numFmt numFmtId="166" formatCode="[$R$-416]&quot; &quot;#,##0.00;[Red]&quot;-&quot;[$R$-416]&quot; &quot;#,##0.00"/>
    <numFmt numFmtId="167" formatCode="dddd&quot;, &quot;mmmm&quot; &quot;dd&quot;, &quot;yyyy"/>
    <numFmt numFmtId="168" formatCode="[$R$-416]#,##0.00"/>
  </numFmts>
  <fonts count="21"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26"/>
      <color rgb="FFFFFFFF"/>
      <name val="Calibri"/>
      <family val="2"/>
    </font>
    <font>
      <sz val="18"/>
      <color rgb="FF000000"/>
      <name val="Calibri"/>
      <family val="2"/>
    </font>
    <font>
      <sz val="12"/>
      <color rgb="FF000000"/>
      <name val="Calibri"/>
      <family val="2"/>
    </font>
    <font>
      <sz val="15"/>
      <color rgb="FF000000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Arial"/>
      <family val="2"/>
    </font>
    <font>
      <sz val="12"/>
      <color rgb="FF000000"/>
      <name val="Arial1"/>
    </font>
    <font>
      <sz val="12"/>
      <color rgb="FF000000"/>
      <name val="Arial11"/>
    </font>
    <font>
      <sz val="10"/>
      <color rgb="FF000000"/>
      <name val="Arial11"/>
    </font>
    <font>
      <b/>
      <sz val="22"/>
      <color rgb="FFFFFFFF"/>
      <name val="Calibri"/>
      <family val="2"/>
    </font>
    <font>
      <b/>
      <sz val="10"/>
      <color rgb="FFFFFFFF"/>
      <name val="Calibri Light"/>
      <family val="2"/>
    </font>
    <font>
      <b/>
      <sz val="15"/>
      <color rgb="FF0066CC"/>
      <name val="Calibri Light"/>
      <family val="2"/>
    </font>
    <font>
      <b/>
      <sz val="15"/>
      <color rgb="FFFF0000"/>
      <name val="Calibri"/>
      <family val="2"/>
    </font>
    <font>
      <b/>
      <sz val="15"/>
      <color rgb="FF0070C0"/>
      <name val="Calibri Light"/>
      <family val="2"/>
    </font>
    <font>
      <b/>
      <u/>
      <sz val="26"/>
      <color rgb="FFFFFFFF"/>
      <name val="Calibri"/>
      <family val="2"/>
    </font>
    <font>
      <b/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rgb="FF008000"/>
        <bgColor rgb="FF008000"/>
      </patternFill>
    </fill>
    <fill>
      <patternFill patternType="solid">
        <fgColor rgb="FF333333"/>
        <bgColor rgb="FF333333"/>
      </patternFill>
    </fill>
    <fill>
      <patternFill patternType="solid">
        <fgColor rgb="FFFFFFFF"/>
        <bgColor rgb="FFFFFFFF"/>
      </patternFill>
    </fill>
    <fill>
      <patternFill patternType="solid">
        <fgColor rgb="FF3465A4"/>
        <bgColor rgb="FF3465A4"/>
      </patternFill>
    </fill>
    <fill>
      <patternFill patternType="solid">
        <fgColor rgb="FFC0C0C0"/>
        <bgColor rgb="FFC0C0C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rgb="FFFFFFFF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6">
    <xf numFmtId="0" fontId="0" fillId="0" borderId="0"/>
    <xf numFmtId="9" fontId="1" fillId="0" borderId="0" applyFont="0" applyBorder="0" applyProtection="0"/>
    <xf numFmtId="0" fontId="2" fillId="2" borderId="0" applyNumberFormat="0" applyBorder="0" applyProtection="0"/>
    <xf numFmtId="0" fontId="2" fillId="2" borderId="0" applyNumberFormat="0" applyBorder="0" applyAlignment="0" applyProtection="0"/>
    <xf numFmtId="0" fontId="2" fillId="3" borderId="0" applyNumberFormat="0" applyBorder="0" applyProtection="0"/>
    <xf numFmtId="0" fontId="2" fillId="3" borderId="0" applyNumberFormat="0" applyBorder="0" applyProtection="0"/>
    <xf numFmtId="0" fontId="2" fillId="2" borderId="0" applyNumberFormat="0" applyBorder="0" applyProtection="0"/>
    <xf numFmtId="0" fontId="2" fillId="3" borderId="0" applyNumberFormat="0" applyBorder="0" applyProtection="0"/>
    <xf numFmtId="0" fontId="2" fillId="2" borderId="0" applyNumberFormat="0" applyBorder="0" applyProtection="0"/>
    <xf numFmtId="0" fontId="2" fillId="3" borderId="0" applyNumberFormat="0" applyBorder="0" applyProtection="0"/>
    <xf numFmtId="0" fontId="2" fillId="2" borderId="0" applyNumberFormat="0" applyBorder="0" applyProtection="0"/>
    <xf numFmtId="0" fontId="2" fillId="3" borderId="0" applyNumberFormat="0" applyBorder="0" applyAlignment="0" applyProtection="0"/>
    <xf numFmtId="0" fontId="3" fillId="0" borderId="0" applyNumberFormat="0" applyBorder="0" applyProtection="0">
      <alignment horizontal="center"/>
    </xf>
    <xf numFmtId="0" fontId="3" fillId="0" borderId="0" applyNumberFormat="0" applyBorder="0" applyProtection="0">
      <alignment horizontal="center" textRotation="90"/>
    </xf>
    <xf numFmtId="0" fontId="4" fillId="0" borderId="0" applyNumberFormat="0" applyBorder="0" applyProtection="0"/>
    <xf numFmtId="166" fontId="4" fillId="0" borderId="0" applyBorder="0" applyProtection="0"/>
  </cellStyleXfs>
  <cellXfs count="111">
    <xf numFmtId="0" fontId="0" fillId="0" borderId="0" xfId="0"/>
    <xf numFmtId="167" fontId="5" fillId="5" borderId="0" xfId="0" applyNumberFormat="1" applyFont="1" applyFill="1" applyAlignment="1">
      <alignment horizontal="left" vertical="center"/>
    </xf>
    <xf numFmtId="0" fontId="6" fillId="5" borderId="0" xfId="0" applyFont="1" applyFill="1" applyAlignment="1">
      <alignment horizontal="center"/>
    </xf>
    <xf numFmtId="167" fontId="2" fillId="6" borderId="2" xfId="0" applyNumberFormat="1" applyFont="1" applyFill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/>
    </xf>
    <xf numFmtId="166" fontId="6" fillId="0" borderId="1" xfId="0" applyNumberFormat="1" applyFont="1" applyBorder="1" applyAlignment="1">
      <alignment horizontal="center"/>
    </xf>
    <xf numFmtId="9" fontId="8" fillId="7" borderId="4" xfId="1" applyFont="1" applyFill="1" applyBorder="1" applyAlignment="1">
      <alignment horizontal="center"/>
    </xf>
    <xf numFmtId="1" fontId="7" fillId="5" borderId="1" xfId="0" applyNumberFormat="1" applyFont="1" applyFill="1" applyBorder="1" applyAlignment="1">
      <alignment horizontal="center"/>
    </xf>
    <xf numFmtId="14" fontId="9" fillId="7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5" fontId="7" fillId="5" borderId="3" xfId="0" applyNumberFormat="1" applyFont="1" applyFill="1" applyBorder="1" applyAlignment="1">
      <alignment horizontal="center"/>
    </xf>
    <xf numFmtId="9" fontId="8" fillId="7" borderId="1" xfId="1" applyFont="1" applyFill="1" applyBorder="1" applyAlignment="1">
      <alignment horizontal="center"/>
    </xf>
    <xf numFmtId="166" fontId="7" fillId="5" borderId="3" xfId="0" applyNumberFormat="1" applyFont="1" applyFill="1" applyBorder="1" applyAlignment="1">
      <alignment horizontal="center"/>
    </xf>
    <xf numFmtId="166" fontId="7" fillId="0" borderId="1" xfId="0" applyNumberFormat="1" applyFont="1" applyBorder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 wrapText="1"/>
    </xf>
    <xf numFmtId="167" fontId="5" fillId="8" borderId="0" xfId="0" applyNumberFormat="1" applyFont="1" applyFill="1" applyAlignment="1">
      <alignment horizontal="left" vertical="center"/>
    </xf>
    <xf numFmtId="164" fontId="7" fillId="9" borderId="1" xfId="0" applyNumberFormat="1" applyFont="1" applyFill="1" applyBorder="1" applyAlignment="1">
      <alignment horizontal="center"/>
    </xf>
    <xf numFmtId="167" fontId="5" fillId="10" borderId="0" xfId="0" applyNumberFormat="1" applyFont="1" applyFill="1" applyAlignment="1">
      <alignment horizontal="left" vertical="center"/>
    </xf>
    <xf numFmtId="164" fontId="7" fillId="11" borderId="1" xfId="0" applyNumberFormat="1" applyFont="1" applyFill="1" applyBorder="1" applyAlignment="1">
      <alignment horizontal="center"/>
    </xf>
    <xf numFmtId="167" fontId="5" fillId="8" borderId="0" xfId="0" applyNumberFormat="1" applyFont="1" applyFill="1" applyAlignment="1">
      <alignment horizontal="center" vertical="center"/>
    </xf>
    <xf numFmtId="164" fontId="7" fillId="9" borderId="1" xfId="0" applyNumberFormat="1" applyFont="1" applyFill="1" applyBorder="1" applyAlignment="1">
      <alignment horizontal="center" vertical="center"/>
    </xf>
    <xf numFmtId="0" fontId="7" fillId="9" borderId="1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165" fontId="7" fillId="9" borderId="3" xfId="0" applyNumberFormat="1" applyFont="1" applyFill="1" applyBorder="1" applyAlignment="1">
      <alignment horizontal="center" vertical="center"/>
    </xf>
    <xf numFmtId="165" fontId="7" fillId="8" borderId="3" xfId="0" applyNumberFormat="1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/>
    </xf>
    <xf numFmtId="165" fontId="7" fillId="9" borderId="3" xfId="0" applyNumberFormat="1" applyFont="1" applyFill="1" applyBorder="1" applyAlignment="1">
      <alignment horizontal="center"/>
    </xf>
    <xf numFmtId="167" fontId="2" fillId="6" borderId="6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6" fillId="0" borderId="0" xfId="0" applyFont="1" applyFill="1" applyBorder="1" applyAlignment="1">
      <alignment horizontal="center"/>
    </xf>
    <xf numFmtId="167" fontId="2" fillId="0" borderId="0" xfId="0" applyNumberFormat="1" applyFont="1" applyFill="1" applyBorder="1" applyAlignment="1">
      <alignment horizontal="center" vertical="center" wrapText="1"/>
    </xf>
    <xf numFmtId="0" fontId="6" fillId="0" borderId="0" xfId="0" applyFont="1" applyFill="1" applyAlignment="1">
      <alignment horizontal="center"/>
    </xf>
    <xf numFmtId="167" fontId="6" fillId="0" borderId="0" xfId="0" applyNumberFormat="1" applyFont="1" applyFill="1" applyAlignment="1">
      <alignment horizontal="center"/>
    </xf>
    <xf numFmtId="1" fontId="7" fillId="0" borderId="0" xfId="1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  <xf numFmtId="9" fontId="1" fillId="0" borderId="0" xfId="1" applyFill="1" applyAlignment="1">
      <alignment horizontal="center"/>
    </xf>
    <xf numFmtId="165" fontId="6" fillId="0" borderId="0" xfId="0" applyNumberFormat="1" applyFont="1" applyFill="1" applyAlignment="1">
      <alignment horizontal="center"/>
    </xf>
    <xf numFmtId="164" fontId="7" fillId="0" borderId="5" xfId="0" applyNumberFormat="1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/>
    </xf>
    <xf numFmtId="165" fontId="7" fillId="0" borderId="5" xfId="0" applyNumberFormat="1" applyFont="1" applyFill="1" applyBorder="1" applyAlignment="1">
      <alignment horizontal="center"/>
    </xf>
    <xf numFmtId="166" fontId="7" fillId="0" borderId="5" xfId="0" applyNumberFormat="1" applyFont="1" applyFill="1" applyBorder="1" applyAlignment="1">
      <alignment horizontal="center"/>
    </xf>
    <xf numFmtId="9" fontId="8" fillId="0" borderId="0" xfId="1" applyFont="1" applyFill="1" applyBorder="1" applyAlignment="1">
      <alignment horizontal="center"/>
    </xf>
    <xf numFmtId="164" fontId="7" fillId="0" borderId="0" xfId="0" applyNumberFormat="1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center"/>
    </xf>
    <xf numFmtId="166" fontId="7" fillId="0" borderId="0" xfId="0" applyNumberFormat="1" applyFont="1" applyFill="1" applyBorder="1" applyAlignment="1">
      <alignment horizontal="center"/>
    </xf>
    <xf numFmtId="14" fontId="7" fillId="0" borderId="0" xfId="0" applyNumberFormat="1" applyFont="1" applyFill="1" applyAlignment="1">
      <alignment horizontal="center"/>
    </xf>
    <xf numFmtId="1" fontId="16" fillId="0" borderId="9" xfId="0" applyNumberFormat="1" applyFont="1" applyFill="1" applyBorder="1" applyAlignment="1">
      <alignment horizontal="center" vertical="center"/>
    </xf>
    <xf numFmtId="168" fontId="16" fillId="0" borderId="10" xfId="0" applyNumberFormat="1" applyFont="1" applyFill="1" applyBorder="1" applyAlignment="1">
      <alignment horizontal="center" vertical="center"/>
    </xf>
    <xf numFmtId="2" fontId="16" fillId="0" borderId="10" xfId="0" applyNumberFormat="1" applyFont="1" applyFill="1" applyBorder="1" applyAlignment="1">
      <alignment horizontal="center" vertical="center"/>
    </xf>
    <xf numFmtId="167" fontId="15" fillId="12" borderId="7" xfId="0" applyNumberFormat="1" applyFont="1" applyFill="1" applyBorder="1" applyAlignment="1">
      <alignment horizontal="center" vertical="center" wrapText="1"/>
    </xf>
    <xf numFmtId="0" fontId="15" fillId="12" borderId="0" xfId="0" applyFont="1" applyFill="1" applyBorder="1" applyAlignment="1">
      <alignment horizontal="center" vertical="center"/>
    </xf>
    <xf numFmtId="0" fontId="15" fillId="12" borderId="0" xfId="0" applyFont="1" applyFill="1" applyBorder="1" applyAlignment="1">
      <alignment horizontal="center" vertical="center" wrapText="1"/>
    </xf>
    <xf numFmtId="167" fontId="6" fillId="0" borderId="0" xfId="0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7" fillId="5" borderId="15" xfId="0" applyFont="1" applyFill="1" applyBorder="1" applyAlignment="1">
      <alignment horizontal="center"/>
    </xf>
    <xf numFmtId="164" fontId="7" fillId="5" borderId="15" xfId="0" applyNumberFormat="1" applyFont="1" applyFill="1" applyBorder="1" applyAlignment="1">
      <alignment horizontal="center"/>
    </xf>
    <xf numFmtId="2" fontId="7" fillId="5" borderId="15" xfId="1" applyNumberFormat="1" applyFont="1" applyFill="1" applyBorder="1" applyAlignment="1">
      <alignment horizontal="center"/>
    </xf>
    <xf numFmtId="165" fontId="7" fillId="8" borderId="15" xfId="0" applyNumberFormat="1" applyFont="1" applyFill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5" borderId="15" xfId="0" applyFont="1" applyFill="1" applyBorder="1" applyAlignment="1">
      <alignment horizontal="center"/>
    </xf>
    <xf numFmtId="164" fontId="7" fillId="0" borderId="15" xfId="0" applyNumberFormat="1" applyFont="1" applyBorder="1" applyAlignment="1">
      <alignment horizontal="center"/>
    </xf>
    <xf numFmtId="0" fontId="11" fillId="5" borderId="15" xfId="0" applyFont="1" applyFill="1" applyBorder="1" applyAlignment="1">
      <alignment horizontal="center"/>
    </xf>
    <xf numFmtId="0" fontId="6" fillId="0" borderId="15" xfId="0" applyFont="1" applyBorder="1" applyAlignment="1">
      <alignment horizontal="center" wrapText="1"/>
    </xf>
    <xf numFmtId="0" fontId="12" fillId="5" borderId="15" xfId="0" applyFont="1" applyFill="1" applyBorder="1" applyAlignment="1">
      <alignment horizontal="center"/>
    </xf>
    <xf numFmtId="0" fontId="13" fillId="5" borderId="15" xfId="0" applyFont="1" applyFill="1" applyBorder="1" applyAlignment="1">
      <alignment horizontal="center"/>
    </xf>
    <xf numFmtId="166" fontId="7" fillId="8" borderId="15" xfId="0" applyNumberFormat="1" applyFont="1" applyFill="1" applyBorder="1" applyAlignment="1">
      <alignment horizontal="center"/>
    </xf>
    <xf numFmtId="0" fontId="7" fillId="8" borderId="6" xfId="0" applyFont="1" applyFill="1" applyBorder="1" applyAlignment="1">
      <alignment horizontal="center"/>
    </xf>
    <xf numFmtId="0" fontId="12" fillId="5" borderId="16" xfId="0" applyFont="1" applyFill="1" applyBorder="1" applyAlignment="1">
      <alignment horizontal="center"/>
    </xf>
    <xf numFmtId="0" fontId="7" fillId="8" borderId="15" xfId="0" applyFont="1" applyFill="1" applyBorder="1" applyAlignment="1">
      <alignment horizontal="center"/>
    </xf>
    <xf numFmtId="164" fontId="7" fillId="11" borderId="2" xfId="0" applyNumberFormat="1" applyFont="1" applyFill="1" applyBorder="1" applyAlignment="1">
      <alignment horizontal="center"/>
    </xf>
    <xf numFmtId="1" fontId="7" fillId="5" borderId="2" xfId="0" applyNumberFormat="1" applyFont="1" applyFill="1" applyBorder="1" applyAlignment="1">
      <alignment horizontal="center"/>
    </xf>
    <xf numFmtId="14" fontId="9" fillId="7" borderId="2" xfId="0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14" fontId="7" fillId="0" borderId="0" xfId="0" applyNumberFormat="1" applyFont="1" applyFill="1" applyBorder="1" applyAlignment="1">
      <alignment horizontal="center"/>
    </xf>
    <xf numFmtId="9" fontId="8" fillId="7" borderId="3" xfId="1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164" fontId="7" fillId="9" borderId="2" xfId="0" applyNumberFormat="1" applyFont="1" applyFill="1" applyBorder="1" applyAlignment="1">
      <alignment horizontal="center"/>
    </xf>
    <xf numFmtId="164" fontId="7" fillId="0" borderId="2" xfId="0" applyNumberFormat="1" applyFont="1" applyFill="1" applyBorder="1" applyAlignment="1">
      <alignment horizontal="center"/>
    </xf>
    <xf numFmtId="164" fontId="7" fillId="0" borderId="19" xfId="0" applyNumberFormat="1" applyFont="1" applyFill="1" applyBorder="1" applyAlignment="1">
      <alignment horizontal="center"/>
    </xf>
    <xf numFmtId="164" fontId="7" fillId="9" borderId="15" xfId="0" applyNumberFormat="1" applyFont="1" applyFill="1" applyBorder="1" applyAlignment="1">
      <alignment horizontal="center"/>
    </xf>
    <xf numFmtId="164" fontId="7" fillId="0" borderId="15" xfId="0" applyNumberFormat="1" applyFont="1" applyFill="1" applyBorder="1" applyAlignment="1">
      <alignment horizontal="center"/>
    </xf>
    <xf numFmtId="164" fontId="7" fillId="11" borderId="15" xfId="0" applyNumberFormat="1" applyFont="1" applyFill="1" applyBorder="1" applyAlignment="1">
      <alignment horizontal="center"/>
    </xf>
    <xf numFmtId="1" fontId="7" fillId="5" borderId="15" xfId="0" applyNumberFormat="1" applyFont="1" applyFill="1" applyBorder="1" applyAlignment="1">
      <alignment horizontal="center"/>
    </xf>
    <xf numFmtId="14" fontId="9" fillId="7" borderId="15" xfId="0" applyNumberFormat="1" applyFont="1" applyFill="1" applyBorder="1" applyAlignment="1">
      <alignment horizontal="center"/>
    </xf>
    <xf numFmtId="0" fontId="19" fillId="4" borderId="0" xfId="0" applyFont="1" applyFill="1" applyAlignment="1">
      <alignment vertical="center"/>
    </xf>
    <xf numFmtId="0" fontId="0" fillId="13" borderId="0" xfId="0" applyFill="1" applyBorder="1"/>
    <xf numFmtId="2" fontId="20" fillId="9" borderId="15" xfId="0" applyNumberFormat="1" applyFont="1" applyFill="1" applyBorder="1" applyAlignment="1">
      <alignment horizontal="center" vertical="center"/>
    </xf>
    <xf numFmtId="2" fontId="16" fillId="0" borderId="10" xfId="0" applyNumberFormat="1" applyFont="1" applyFill="1" applyBorder="1" applyAlignment="1">
      <alignment horizontal="center" vertical="center"/>
    </xf>
    <xf numFmtId="2" fontId="16" fillId="0" borderId="11" xfId="0" applyNumberFormat="1" applyFont="1" applyFill="1" applyBorder="1" applyAlignment="1">
      <alignment horizontal="center" vertical="center"/>
    </xf>
    <xf numFmtId="167" fontId="14" fillId="12" borderId="12" xfId="0" applyNumberFormat="1" applyFont="1" applyFill="1" applyBorder="1" applyAlignment="1">
      <alignment horizontal="center" vertical="center"/>
    </xf>
    <xf numFmtId="167" fontId="14" fillId="12" borderId="13" xfId="0" applyNumberFormat="1" applyFont="1" applyFill="1" applyBorder="1" applyAlignment="1">
      <alignment horizontal="center" vertical="center"/>
    </xf>
    <xf numFmtId="167" fontId="14" fillId="12" borderId="14" xfId="0" applyNumberFormat="1" applyFont="1" applyFill="1" applyBorder="1" applyAlignment="1">
      <alignment horizontal="center" vertical="center"/>
    </xf>
    <xf numFmtId="0" fontId="15" fillId="12" borderId="0" xfId="0" applyFont="1" applyFill="1" applyBorder="1" applyAlignment="1">
      <alignment horizontal="center" vertical="center"/>
    </xf>
    <xf numFmtId="0" fontId="15" fillId="12" borderId="8" xfId="0" applyFont="1" applyFill="1" applyBorder="1" applyAlignment="1">
      <alignment horizontal="center" vertical="center"/>
    </xf>
    <xf numFmtId="0" fontId="15" fillId="12" borderId="0" xfId="0" applyFont="1" applyFill="1" applyBorder="1" applyAlignment="1">
      <alignment horizontal="center" vertical="center" wrapText="1"/>
    </xf>
    <xf numFmtId="0" fontId="15" fillId="12" borderId="8" xfId="0" applyFont="1" applyFill="1" applyBorder="1" applyAlignment="1">
      <alignment horizontal="center" vertical="center" wrapText="1"/>
    </xf>
    <xf numFmtId="2" fontId="16" fillId="0" borderId="7" xfId="0" applyNumberFormat="1" applyFont="1" applyFill="1" applyBorder="1" applyAlignment="1">
      <alignment horizontal="center" vertical="center"/>
    </xf>
    <xf numFmtId="9" fontId="17" fillId="0" borderId="0" xfId="1" applyFont="1" applyFill="1" applyBorder="1" applyAlignment="1">
      <alignment horizontal="center" vertical="center"/>
    </xf>
    <xf numFmtId="9" fontId="18" fillId="0" borderId="0" xfId="0" applyNumberFormat="1" applyFont="1" applyFill="1" applyBorder="1" applyAlignment="1">
      <alignment horizontal="center" vertical="center"/>
    </xf>
    <xf numFmtId="9" fontId="18" fillId="0" borderId="8" xfId="0" applyNumberFormat="1" applyFont="1" applyFill="1" applyBorder="1" applyAlignment="1">
      <alignment horizontal="center" vertical="center"/>
    </xf>
    <xf numFmtId="2" fontId="16" fillId="0" borderId="0" xfId="0" applyNumberFormat="1" applyFont="1" applyFill="1" applyBorder="1" applyAlignment="1">
      <alignment horizontal="center" vertical="center"/>
    </xf>
  </cellXfs>
  <cellStyles count="16">
    <cellStyle name="cf1" xfId="2" xr:uid="{00000000-0005-0000-0000-000000000000}"/>
    <cellStyle name="cf10" xfId="3" xr:uid="{00000000-0005-0000-0000-000001000000}"/>
    <cellStyle name="cf2" xfId="4" xr:uid="{00000000-0005-0000-0000-000002000000}"/>
    <cellStyle name="cf3" xfId="5" xr:uid="{00000000-0005-0000-0000-000003000000}"/>
    <cellStyle name="cf4" xfId="6" xr:uid="{00000000-0005-0000-0000-000004000000}"/>
    <cellStyle name="cf5" xfId="7" xr:uid="{00000000-0005-0000-0000-000005000000}"/>
    <cellStyle name="cf6" xfId="8" xr:uid="{00000000-0005-0000-0000-000006000000}"/>
    <cellStyle name="cf7" xfId="9" xr:uid="{00000000-0005-0000-0000-000007000000}"/>
    <cellStyle name="cf8" xfId="10" xr:uid="{00000000-0005-0000-0000-000008000000}"/>
    <cellStyle name="cf9" xfId="11" xr:uid="{00000000-0005-0000-0000-000009000000}"/>
    <cellStyle name="Heading 3" xfId="12" xr:uid="{00000000-0005-0000-0000-00000A000000}"/>
    <cellStyle name="Heading1" xfId="13" xr:uid="{00000000-0005-0000-0000-00000B000000}"/>
    <cellStyle name="Normal" xfId="0" builtinId="0" customBuiltin="1"/>
    <cellStyle name="Porcentagem" xfId="1" builtinId="5" customBuiltin="1"/>
    <cellStyle name="Result" xfId="14" xr:uid="{00000000-0005-0000-0000-00000E000000}"/>
    <cellStyle name="Result2" xfId="15" xr:uid="{00000000-0005-0000-0000-00000F000000}"/>
  </cellStyles>
  <dxfs count="2">
    <dxf>
      <font>
        <b/>
        <color rgb="FFFFFFFF"/>
      </font>
      <fill>
        <patternFill patternType="solid">
          <fgColor rgb="FFFF0000"/>
          <bgColor rgb="FFFF0000"/>
        </patternFill>
      </fill>
    </dxf>
    <dxf>
      <font>
        <b/>
        <color rgb="FFFFFFFF"/>
      </font>
      <fill>
        <patternFill patternType="solid">
          <fgColor rgb="FF008000"/>
          <bgColor rgb="FF008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0</xdr:colOff>
      <xdr:row>9</xdr:row>
      <xdr:rowOff>36722</xdr:rowOff>
    </xdr:from>
    <xdr:ext cx="356" cy="6043681"/>
    <xdr:sp macro="" textlink="">
      <xdr:nvSpPr>
        <xdr:cNvPr id="3" name="AutoShape 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326091" y="2808497"/>
          <a:ext cx="356" cy="6043681"/>
        </a:xfrm>
        <a:prstGeom prst="rect">
          <a:avLst/>
        </a:prstGeom>
        <a:noFill/>
        <a:ln cap="flat">
          <a:noFill/>
          <a:prstDash val="solid"/>
        </a:ln>
      </xdr:spPr>
      <xdr:txBody>
        <a:bodyPr vert="horz" wrap="square" lIns="0" tIns="0" rIns="0" bIns="0" anchor="t" anchorCtr="0" compatLnSpc="0">
          <a:noAutofit/>
        </a:bodyPr>
        <a:lstStyle/>
        <a:p>
          <a:pPr marL="0" marR="0" lvl="0" indent="0" defTabSz="914400" rtl="0" fontAlgn="auto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200" b="0" i="0" u="none" strike="noStrike" kern="1200" cap="none" spc="0" baseline="0">
            <a:solidFill>
              <a:srgbClr val="000000"/>
            </a:solidFill>
            <a:uFillTx/>
            <a:latin typeface="Liberation Serif" pitchFamily="18"/>
            <a:ea typeface="Segoe UI" pitchFamily="2"/>
            <a:cs typeface="Tahoma" pitchFamily="2"/>
          </a:endParaRPr>
        </a:p>
      </xdr:txBody>
    </xdr:sp>
    <xdr:clientData/>
  </xdr:oneCellAnchor>
  <xdr:oneCellAnchor>
    <xdr:from>
      <xdr:col>22</xdr:col>
      <xdr:colOff>0</xdr:colOff>
      <xdr:row>16</xdr:row>
      <xdr:rowOff>0</xdr:rowOff>
    </xdr:from>
    <xdr:ext cx="356" cy="49625283"/>
    <xdr:sp macro="" textlink="">
      <xdr:nvSpPr>
        <xdr:cNvPr id="4" name="AutoShape 7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268850" y="4838700"/>
          <a:ext cx="356" cy="49625283"/>
        </a:xfrm>
        <a:prstGeom prst="rect">
          <a:avLst/>
        </a:prstGeom>
        <a:noFill/>
        <a:ln cap="flat">
          <a:noFill/>
          <a:prstDash val="solid"/>
        </a:ln>
      </xdr:spPr>
      <xdr:txBody>
        <a:bodyPr vert="horz" wrap="square" lIns="0" tIns="0" rIns="0" bIns="0" anchor="t" anchorCtr="0" compatLnSpc="0">
          <a:noAutofit/>
        </a:bodyPr>
        <a:lstStyle/>
        <a:p>
          <a:pPr marL="0" marR="0" lvl="0" indent="0" defTabSz="914400" rtl="0" fontAlgn="auto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200" b="0" i="0" u="none" strike="noStrike" kern="1200" cap="none" spc="0" baseline="0">
            <a:solidFill>
              <a:srgbClr val="000000"/>
            </a:solidFill>
            <a:uFillTx/>
            <a:latin typeface="Liberation Serif" pitchFamily="18"/>
            <a:ea typeface="Segoe UI" pitchFamily="2"/>
            <a:cs typeface="Tahoma" pitchFamily="2"/>
          </a:endParaRPr>
        </a:p>
      </xdr:txBody>
    </xdr:sp>
    <xdr:clientData/>
  </xdr:oneCellAnchor>
  <xdr:oneCellAnchor>
    <xdr:from>
      <xdr:col>22</xdr:col>
      <xdr:colOff>0</xdr:colOff>
      <xdr:row>3</xdr:row>
      <xdr:rowOff>0</xdr:rowOff>
    </xdr:from>
    <xdr:ext cx="356" cy="8048521"/>
    <xdr:sp macro="" textlink="">
      <xdr:nvSpPr>
        <xdr:cNvPr id="2" name="AutoShape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2326091" y="1000125"/>
          <a:ext cx="356" cy="8048521"/>
        </a:xfrm>
        <a:prstGeom prst="rect">
          <a:avLst/>
        </a:prstGeom>
        <a:noFill/>
        <a:ln cap="flat">
          <a:noFill/>
          <a:prstDash val="solid"/>
        </a:ln>
      </xdr:spPr>
      <xdr:txBody>
        <a:bodyPr vert="horz" wrap="square" lIns="0" tIns="0" rIns="0" bIns="0" anchor="t" anchorCtr="0" compatLnSpc="0">
          <a:noAutofit/>
        </a:bodyPr>
        <a:lstStyle/>
        <a:p>
          <a:pPr marL="0" marR="0" lvl="0" indent="0" defTabSz="914400" rtl="0" fontAlgn="auto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200" b="0" i="0" u="none" strike="noStrike" kern="1200" cap="none" spc="0" baseline="0">
            <a:solidFill>
              <a:srgbClr val="000000"/>
            </a:solidFill>
            <a:uFillTx/>
            <a:latin typeface="Liberation Serif" pitchFamily="18"/>
            <a:ea typeface="Segoe UI" pitchFamily="2"/>
            <a:cs typeface="Tahoma" pitchFamily="2"/>
          </a:endParaRPr>
        </a:p>
      </xdr:txBody>
    </xdr:sp>
    <xdr:clientData/>
  </xdr:oneCellAnchor>
  <xdr:oneCellAnchor>
    <xdr:from>
      <xdr:col>22</xdr:col>
      <xdr:colOff>0</xdr:colOff>
      <xdr:row>16</xdr:row>
      <xdr:rowOff>0</xdr:rowOff>
    </xdr:from>
    <xdr:ext cx="356" cy="49548958"/>
    <xdr:sp macro="" textlink="">
      <xdr:nvSpPr>
        <xdr:cNvPr id="5" name="AutoShape 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2268850" y="4838700"/>
          <a:ext cx="356" cy="49548958"/>
        </a:xfrm>
        <a:prstGeom prst="rect">
          <a:avLst/>
        </a:prstGeom>
        <a:noFill/>
        <a:ln cap="flat">
          <a:noFill/>
          <a:prstDash val="solid"/>
        </a:ln>
      </xdr:spPr>
      <xdr:txBody>
        <a:bodyPr vert="horz" wrap="square" lIns="0" tIns="0" rIns="0" bIns="0" anchor="t" anchorCtr="0" compatLnSpc="0">
          <a:noAutofit/>
        </a:bodyPr>
        <a:lstStyle/>
        <a:p>
          <a:pPr marL="0" marR="0" lvl="0" indent="0" defTabSz="914400" rtl="0" fontAlgn="auto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None/>
            <a:tabLst/>
            <a:defRPr sz="1800" b="0" i="0" u="none" strike="noStrike" kern="0" cap="none" spc="0" baseline="0">
              <a:solidFill>
                <a:srgbClr val="000000"/>
              </a:solidFill>
              <a:uFillTx/>
            </a:defRPr>
          </a:pPr>
          <a:endParaRPr lang="pt-BR" sz="1200" b="0" i="0" u="none" strike="noStrike" kern="1200" cap="none" spc="0" baseline="0">
            <a:solidFill>
              <a:srgbClr val="000000"/>
            </a:solidFill>
            <a:uFillTx/>
            <a:latin typeface="Liberation Serif" pitchFamily="18"/>
            <a:ea typeface="Segoe UI" pitchFamily="2"/>
            <a:cs typeface="Tahoma" pitchFamily="2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W145"/>
  <sheetViews>
    <sheetView tabSelected="1" topLeftCell="C1" zoomScale="70" zoomScaleNormal="70" workbookViewId="0">
      <pane ySplit="3" topLeftCell="A68" activePane="bottomLeft" state="frozen"/>
      <selection pane="bottomLeft" activeCell="G80" sqref="G80"/>
    </sheetView>
  </sheetViews>
  <sheetFormatPr defaultColWidth="11.42578125" defaultRowHeight="20.100000000000001" customHeight="1"/>
  <cols>
    <col min="1" max="1" width="33.140625" style="35" bestFit="1" customWidth="1"/>
    <col min="2" max="2" width="32.5703125" style="34" bestFit="1" customWidth="1"/>
    <col min="3" max="3" width="56.28515625" style="34" bestFit="1" customWidth="1"/>
    <col min="4" max="4" width="46.28515625" style="34" bestFit="1" customWidth="1"/>
    <col min="5" max="5" width="29.5703125" style="34" customWidth="1"/>
    <col min="6" max="6" width="40" style="34" bestFit="1" customWidth="1"/>
    <col min="7" max="7" width="30.28515625" style="35" customWidth="1"/>
    <col min="8" max="8" width="26.85546875" style="35" hidden="1" customWidth="1"/>
    <col min="9" max="9" width="32.28515625" style="35" hidden="1" customWidth="1"/>
    <col min="10" max="10" width="29.85546875" style="35" bestFit="1" customWidth="1"/>
    <col min="11" max="11" width="19" style="35" bestFit="1" customWidth="1"/>
    <col min="12" max="12" width="39.42578125" style="35" bestFit="1" customWidth="1"/>
    <col min="13" max="14" width="28" style="35" bestFit="1" customWidth="1"/>
    <col min="15" max="15" width="16.28515625" style="35" bestFit="1" customWidth="1"/>
    <col min="16" max="16" width="29" style="35" bestFit="1" customWidth="1"/>
    <col min="17" max="17" width="36.85546875" style="35" bestFit="1" customWidth="1"/>
    <col min="18" max="18" width="54.7109375" style="35" bestFit="1" customWidth="1"/>
    <col min="19" max="19" width="38.5703125" style="34" bestFit="1" customWidth="1"/>
    <col min="20" max="20" width="33.5703125" style="34" bestFit="1" customWidth="1"/>
    <col min="21" max="21" width="52" style="34" bestFit="1" customWidth="1"/>
    <col min="22" max="22" width="67.85546875" style="34" bestFit="1" customWidth="1"/>
    <col min="23" max="23" width="29" style="31" customWidth="1"/>
    <col min="24" max="16384" width="11.42578125" style="31"/>
  </cols>
  <sheetData>
    <row r="1" spans="1:23" ht="54.75" customHeight="1">
      <c r="A1" s="94" t="s">
        <v>67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5"/>
    </row>
    <row r="2" spans="1:23" s="32" customFormat="1" ht="65.25" hidden="1" customHeight="1">
      <c r="A2" s="21"/>
      <c r="B2" s="21"/>
      <c r="C2" s="21"/>
      <c r="D2" s="21"/>
      <c r="E2" s="1"/>
      <c r="F2" s="1"/>
      <c r="G2" s="17"/>
      <c r="H2" s="1"/>
      <c r="I2" s="1"/>
      <c r="J2" s="19"/>
      <c r="K2" s="1"/>
      <c r="L2" s="1"/>
      <c r="M2" s="1"/>
      <c r="N2" s="1"/>
      <c r="O2" s="1"/>
      <c r="P2" s="17"/>
      <c r="Q2" s="1"/>
      <c r="R2" s="1"/>
      <c r="S2" s="1"/>
      <c r="T2" s="1"/>
      <c r="U2" s="17"/>
      <c r="V2" s="2"/>
    </row>
    <row r="3" spans="1:23" s="33" customFormat="1" ht="36.75" customHeight="1">
      <c r="A3" s="3" t="s">
        <v>0</v>
      </c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63</v>
      </c>
      <c r="H3" s="3" t="s">
        <v>60</v>
      </c>
      <c r="I3" s="3" t="s">
        <v>61</v>
      </c>
      <c r="J3" s="3" t="s">
        <v>62</v>
      </c>
      <c r="K3" s="3" t="s">
        <v>6</v>
      </c>
      <c r="L3" s="3" t="s">
        <v>7</v>
      </c>
      <c r="M3" s="3" t="s">
        <v>8</v>
      </c>
      <c r="N3" s="3" t="s">
        <v>9</v>
      </c>
      <c r="O3" s="3" t="s">
        <v>10</v>
      </c>
      <c r="P3" s="3" t="s">
        <v>11</v>
      </c>
      <c r="Q3" s="3" t="s">
        <v>12</v>
      </c>
      <c r="R3" s="3" t="s">
        <v>13</v>
      </c>
      <c r="S3" s="3" t="s">
        <v>14</v>
      </c>
      <c r="T3" s="3" t="s">
        <v>15</v>
      </c>
      <c r="U3" s="3" t="s">
        <v>16</v>
      </c>
      <c r="V3" s="30" t="s">
        <v>17</v>
      </c>
      <c r="W3" s="30" t="s">
        <v>68</v>
      </c>
    </row>
    <row r="4" spans="1:23" ht="21" customHeight="1">
      <c r="A4" s="22">
        <v>44105.70208333333</v>
      </c>
      <c r="B4" s="23" t="s">
        <v>18</v>
      </c>
      <c r="C4" s="24" t="s">
        <v>19</v>
      </c>
      <c r="D4" s="25">
        <v>73.8</v>
      </c>
      <c r="E4" s="5"/>
      <c r="F4" s="6">
        <f t="shared" ref="F4:F35" si="0">IFERROR((D4/E4),"1")-1</f>
        <v>0</v>
      </c>
      <c r="G4" s="18">
        <v>44109.6875</v>
      </c>
      <c r="H4" s="15" t="str">
        <f>TEXT(G4,"hh:mm;")</f>
        <v>16:30</v>
      </c>
      <c r="I4" s="15">
        <v>44107</v>
      </c>
      <c r="J4" s="20" t="str">
        <f>CONCATENATE(TEXT(I4,"dd/mm/aa")," ",TEXT(H4,"hh:mm"))</f>
        <v>03/10/20 16:30</v>
      </c>
      <c r="K4" s="15"/>
      <c r="L4" s="7">
        <f t="shared" ref="L4:L47" si="1">(NETWORKDAYS(K4,G4))*-1</f>
        <v>-31506</v>
      </c>
      <c r="M4" s="8">
        <f t="shared" ref="M4:M35" si="2">G4+7</f>
        <v>44116.6875</v>
      </c>
      <c r="N4" s="8">
        <f t="shared" ref="N4:N35" si="3">M4+7</f>
        <v>44123.6875</v>
      </c>
      <c r="O4" s="9"/>
      <c r="P4" s="61">
        <v>72268</v>
      </c>
      <c r="Q4" s="62"/>
      <c r="R4" s="63"/>
      <c r="S4" s="64">
        <f>IF(T4&lt;&gt;"",(G4-A4)*24,"")</f>
        <v>95.650000000081491</v>
      </c>
      <c r="T4" s="64">
        <f>IFERROR((J4-A4)*24,"")</f>
        <v>47.650000000081491</v>
      </c>
      <c r="U4" s="65">
        <v>3690</v>
      </c>
      <c r="V4" s="66"/>
      <c r="W4" s="96" t="s">
        <v>69</v>
      </c>
    </row>
    <row r="5" spans="1:23" ht="21" customHeight="1">
      <c r="A5" s="22">
        <v>44102.646006944444</v>
      </c>
      <c r="B5" s="23" t="s">
        <v>20</v>
      </c>
      <c r="C5" s="24" t="s">
        <v>21</v>
      </c>
      <c r="D5" s="25">
        <v>147.69999999999999</v>
      </c>
      <c r="E5" s="10"/>
      <c r="F5" s="6">
        <f t="shared" si="0"/>
        <v>0</v>
      </c>
      <c r="G5" s="18">
        <v>44106.32708333333</v>
      </c>
      <c r="H5" s="15" t="str">
        <f t="shared" ref="H5:H68" si="4">TEXT(G5,"hh:mm;")</f>
        <v>07:51</v>
      </c>
      <c r="I5" s="15">
        <v>44106</v>
      </c>
      <c r="J5" s="20" t="str">
        <f t="shared" ref="J5:J68" si="5">CONCATENATE(TEXT(I5,"dd/mm/aa")," ",TEXT(H5,"hh:mm"))</f>
        <v>02/10/20 07:51</v>
      </c>
      <c r="K5" s="15"/>
      <c r="L5" s="7">
        <f t="shared" si="1"/>
        <v>-31505</v>
      </c>
      <c r="M5" s="8">
        <f t="shared" si="2"/>
        <v>44113.32708333333</v>
      </c>
      <c r="N5" s="8">
        <f t="shared" si="3"/>
        <v>44120.32708333333</v>
      </c>
      <c r="O5" s="9"/>
      <c r="P5" s="61">
        <v>72272</v>
      </c>
      <c r="Q5" s="67"/>
      <c r="R5" s="68"/>
      <c r="S5" s="64">
        <f t="shared" ref="S5:S68" si="6">IF(T5&lt;&gt;"",(G5-A5)*24,"")</f>
        <v>88.345833333267365</v>
      </c>
      <c r="T5" s="64">
        <f t="shared" ref="T5:T68" si="7">IFERROR((J5-A5)*24,"")</f>
        <v>88.345833333267365</v>
      </c>
      <c r="U5" s="65">
        <v>886.2</v>
      </c>
      <c r="V5" s="66"/>
      <c r="W5" s="96" t="s">
        <v>69</v>
      </c>
    </row>
    <row r="6" spans="1:23" ht="21" customHeight="1">
      <c r="A6" s="22">
        <v>44105.677083333336</v>
      </c>
      <c r="B6" s="23" t="s">
        <v>18</v>
      </c>
      <c r="C6" s="24" t="s">
        <v>19</v>
      </c>
      <c r="D6" s="26">
        <v>54.5</v>
      </c>
      <c r="E6" s="10"/>
      <c r="F6" s="12">
        <f t="shared" si="0"/>
        <v>0</v>
      </c>
      <c r="G6" s="18">
        <v>44105.70208333333</v>
      </c>
      <c r="H6" s="15" t="str">
        <f t="shared" si="4"/>
        <v>16:51</v>
      </c>
      <c r="I6" s="15">
        <v>44105</v>
      </c>
      <c r="J6" s="20" t="str">
        <f t="shared" si="5"/>
        <v>01/10/20 16:51</v>
      </c>
      <c r="K6" s="15"/>
      <c r="L6" s="7">
        <f t="shared" si="1"/>
        <v>-31504</v>
      </c>
      <c r="M6" s="8">
        <v>44105.70208333333</v>
      </c>
      <c r="N6" s="8">
        <f t="shared" si="3"/>
        <v>44112.70208333333</v>
      </c>
      <c r="O6" s="9"/>
      <c r="P6" s="61">
        <v>72273</v>
      </c>
      <c r="Q6" s="69"/>
      <c r="R6" s="68"/>
      <c r="S6" s="64">
        <f t="shared" si="6"/>
        <v>0.59999999986030161</v>
      </c>
      <c r="T6" s="64">
        <f t="shared" si="7"/>
        <v>0.59999999986030161</v>
      </c>
      <c r="U6" s="65">
        <v>2725</v>
      </c>
      <c r="V6" s="66"/>
      <c r="W6" s="96" t="s">
        <v>69</v>
      </c>
    </row>
    <row r="7" spans="1:23" ht="21" customHeight="1">
      <c r="A7" s="22">
        <v>44105.587500000001</v>
      </c>
      <c r="B7" s="23" t="s">
        <v>22</v>
      </c>
      <c r="C7" s="24" t="s">
        <v>23</v>
      </c>
      <c r="D7" s="26">
        <v>419.2</v>
      </c>
      <c r="E7" s="13"/>
      <c r="F7" s="12">
        <f t="shared" si="0"/>
        <v>0</v>
      </c>
      <c r="G7" s="18">
        <v>44105.59652777778</v>
      </c>
      <c r="H7" s="15" t="str">
        <f t="shared" si="4"/>
        <v>14:19</v>
      </c>
      <c r="I7" s="15">
        <v>44105</v>
      </c>
      <c r="J7" s="20" t="str">
        <f t="shared" si="5"/>
        <v>01/10/20 14:19</v>
      </c>
      <c r="K7" s="15"/>
      <c r="L7" s="7">
        <f t="shared" si="1"/>
        <v>-31504</v>
      </c>
      <c r="M7" s="8">
        <v>44105.59652777778</v>
      </c>
      <c r="N7" s="8">
        <f t="shared" si="3"/>
        <v>44112.59652777778</v>
      </c>
      <c r="O7" s="9"/>
      <c r="P7" s="28">
        <v>72250</v>
      </c>
      <c r="Q7" s="62"/>
      <c r="R7" s="68"/>
      <c r="S7" s="64">
        <f t="shared" si="6"/>
        <v>0.21666666667442769</v>
      </c>
      <c r="T7" s="64">
        <f t="shared" si="7"/>
        <v>0.21666666667442769</v>
      </c>
      <c r="U7" s="65">
        <v>1257</v>
      </c>
      <c r="V7" s="66"/>
      <c r="W7" s="96" t="s">
        <v>69</v>
      </c>
    </row>
    <row r="8" spans="1:23" ht="21" customHeight="1">
      <c r="A8" s="22">
        <v>44104.709027777775</v>
      </c>
      <c r="B8" s="23" t="s">
        <v>24</v>
      </c>
      <c r="C8" s="24" t="s">
        <v>25</v>
      </c>
      <c r="D8" s="26">
        <v>423.9</v>
      </c>
      <c r="E8" s="13"/>
      <c r="F8" s="12">
        <f t="shared" si="0"/>
        <v>0</v>
      </c>
      <c r="G8" s="18">
        <v>44109.326388888891</v>
      </c>
      <c r="H8" s="15" t="str">
        <f t="shared" si="4"/>
        <v>07:50</v>
      </c>
      <c r="I8" s="15">
        <v>44107</v>
      </c>
      <c r="J8" s="20" t="str">
        <f t="shared" si="5"/>
        <v>03/10/20 07:50</v>
      </c>
      <c r="K8" s="15"/>
      <c r="L8" s="7">
        <f t="shared" si="1"/>
        <v>-31506</v>
      </c>
      <c r="M8" s="8">
        <f t="shared" si="2"/>
        <v>44116.326388888891</v>
      </c>
      <c r="N8" s="8">
        <f t="shared" si="3"/>
        <v>44123.326388888891</v>
      </c>
      <c r="O8" s="9"/>
      <c r="P8" s="61">
        <v>72331</v>
      </c>
      <c r="Q8" s="69"/>
      <c r="R8" s="68"/>
      <c r="S8" s="64">
        <f t="shared" si="6"/>
        <v>110.81666666676756</v>
      </c>
      <c r="T8" s="64">
        <f t="shared" si="7"/>
        <v>62.81666666676756</v>
      </c>
      <c r="U8" s="65">
        <v>1271.7</v>
      </c>
      <c r="V8" s="66"/>
      <c r="W8" s="96" t="s">
        <v>69</v>
      </c>
    </row>
    <row r="9" spans="1:23" ht="21" customHeight="1">
      <c r="A9" s="22">
        <v>44104.709027777775</v>
      </c>
      <c r="B9" s="23" t="s">
        <v>24</v>
      </c>
      <c r="C9" s="24" t="s">
        <v>25</v>
      </c>
      <c r="D9" s="26">
        <v>436.6</v>
      </c>
      <c r="E9" s="13"/>
      <c r="F9" s="12">
        <f t="shared" si="0"/>
        <v>0</v>
      </c>
      <c r="G9" s="18">
        <v>44109.332638888889</v>
      </c>
      <c r="H9" s="15" t="str">
        <f t="shared" si="4"/>
        <v>07:59</v>
      </c>
      <c r="I9" s="15">
        <v>44107</v>
      </c>
      <c r="J9" s="20" t="str">
        <f t="shared" si="5"/>
        <v>03/10/20 07:59</v>
      </c>
      <c r="K9" s="15"/>
      <c r="L9" s="7">
        <f t="shared" si="1"/>
        <v>-31506</v>
      </c>
      <c r="M9" s="8">
        <f t="shared" si="2"/>
        <v>44116.332638888889</v>
      </c>
      <c r="N9" s="8">
        <f t="shared" si="3"/>
        <v>44123.332638888889</v>
      </c>
      <c r="O9" s="9"/>
      <c r="P9" s="61">
        <v>72332</v>
      </c>
      <c r="Q9" s="62"/>
      <c r="R9" s="68"/>
      <c r="S9" s="64">
        <f t="shared" si="6"/>
        <v>110.96666666673264</v>
      </c>
      <c r="T9" s="64">
        <f t="shared" si="7"/>
        <v>62.966666666732635</v>
      </c>
      <c r="U9" s="65">
        <v>1309.8</v>
      </c>
      <c r="V9" s="66"/>
      <c r="W9" s="96" t="s">
        <v>69</v>
      </c>
    </row>
    <row r="10" spans="1:23" ht="21" customHeight="1">
      <c r="A10" s="22">
        <v>44104.709027777775</v>
      </c>
      <c r="B10" s="23" t="s">
        <v>24</v>
      </c>
      <c r="C10" s="24" t="s">
        <v>25</v>
      </c>
      <c r="D10" s="25">
        <v>372.9</v>
      </c>
      <c r="E10" s="13"/>
      <c r="F10" s="12">
        <f t="shared" si="0"/>
        <v>0</v>
      </c>
      <c r="G10" s="18">
        <v>44109.341666666667</v>
      </c>
      <c r="H10" s="15" t="str">
        <f t="shared" si="4"/>
        <v>08:12</v>
      </c>
      <c r="I10" s="15">
        <v>44107</v>
      </c>
      <c r="J10" s="20" t="str">
        <f t="shared" si="5"/>
        <v>03/10/20 08:12</v>
      </c>
      <c r="K10" s="15"/>
      <c r="L10" s="7">
        <f t="shared" si="1"/>
        <v>-31506</v>
      </c>
      <c r="M10" s="8">
        <f t="shared" si="2"/>
        <v>44116.341666666667</v>
      </c>
      <c r="N10" s="8">
        <f t="shared" si="3"/>
        <v>44123.341666666667</v>
      </c>
      <c r="O10" s="9"/>
      <c r="P10" s="61">
        <v>72333</v>
      </c>
      <c r="Q10" s="69"/>
      <c r="R10" s="68"/>
      <c r="S10" s="64">
        <f t="shared" si="6"/>
        <v>111.18333333340706</v>
      </c>
      <c r="T10" s="64">
        <f t="shared" si="7"/>
        <v>63.183333333407063</v>
      </c>
      <c r="U10" s="65">
        <v>1118.7</v>
      </c>
      <c r="V10" s="70"/>
      <c r="W10" s="96" t="s">
        <v>69</v>
      </c>
    </row>
    <row r="11" spans="1:23" ht="21" customHeight="1">
      <c r="A11" s="22">
        <v>44103.724305555559</v>
      </c>
      <c r="B11" s="27" t="s">
        <v>22</v>
      </c>
      <c r="C11" s="24" t="s">
        <v>23</v>
      </c>
      <c r="D11" s="25">
        <v>326.7</v>
      </c>
      <c r="E11" s="13"/>
      <c r="F11" s="12">
        <f t="shared" si="0"/>
        <v>0</v>
      </c>
      <c r="G11" s="18">
        <v>44109.368055555555</v>
      </c>
      <c r="H11" s="15" t="str">
        <f t="shared" si="4"/>
        <v>08:50</v>
      </c>
      <c r="I11" s="15">
        <v>44107</v>
      </c>
      <c r="J11" s="20" t="str">
        <f t="shared" si="5"/>
        <v>03/10/20 08:50</v>
      </c>
      <c r="K11" s="15"/>
      <c r="L11" s="7">
        <f t="shared" si="1"/>
        <v>-31506</v>
      </c>
      <c r="M11" s="8">
        <f t="shared" si="2"/>
        <v>44116.368055555555</v>
      </c>
      <c r="N11" s="8">
        <f t="shared" si="3"/>
        <v>44123.368055555555</v>
      </c>
      <c r="O11" s="9"/>
      <c r="P11" s="61">
        <v>72334</v>
      </c>
      <c r="Q11" s="62" t="s">
        <v>83</v>
      </c>
      <c r="R11" s="68">
        <v>44119.659722222219</v>
      </c>
      <c r="S11" s="64">
        <f t="shared" si="6"/>
        <v>135.44999999989523</v>
      </c>
      <c r="T11" s="64">
        <f t="shared" si="7"/>
        <v>87.449999999895226</v>
      </c>
      <c r="U11" s="65">
        <v>5749</v>
      </c>
      <c r="V11" s="70"/>
      <c r="W11" s="96" t="s">
        <v>69</v>
      </c>
    </row>
    <row r="12" spans="1:23" ht="21" customHeight="1">
      <c r="A12" s="22">
        <v>44103.724305555559</v>
      </c>
      <c r="B12" s="27" t="s">
        <v>22</v>
      </c>
      <c r="C12" s="24" t="s">
        <v>23</v>
      </c>
      <c r="D12" s="25">
        <v>296</v>
      </c>
      <c r="E12" s="13"/>
      <c r="F12" s="12">
        <f t="shared" si="0"/>
        <v>0</v>
      </c>
      <c r="G12" s="18">
        <v>44109.368055555555</v>
      </c>
      <c r="H12" s="15" t="str">
        <f t="shared" si="4"/>
        <v>08:50</v>
      </c>
      <c r="I12" s="15">
        <v>44107</v>
      </c>
      <c r="J12" s="20" t="str">
        <f t="shared" si="5"/>
        <v>03/10/20 08:50</v>
      </c>
      <c r="K12" s="15"/>
      <c r="L12" s="7">
        <f t="shared" si="1"/>
        <v>-31506</v>
      </c>
      <c r="M12" s="8">
        <f t="shared" si="2"/>
        <v>44116.368055555555</v>
      </c>
      <c r="N12" s="8">
        <f t="shared" si="3"/>
        <v>44123.368055555555</v>
      </c>
      <c r="O12" s="9"/>
      <c r="P12" s="61">
        <v>72335</v>
      </c>
      <c r="Q12" s="62" t="s">
        <v>85</v>
      </c>
      <c r="R12" s="68">
        <v>44119.660416666666</v>
      </c>
      <c r="S12" s="64">
        <f t="shared" si="6"/>
        <v>135.44999999989523</v>
      </c>
      <c r="T12" s="64">
        <f t="shared" si="7"/>
        <v>87.449999999895226</v>
      </c>
      <c r="U12" s="65">
        <v>4558</v>
      </c>
      <c r="V12" s="70"/>
      <c r="W12" s="96" t="s">
        <v>69</v>
      </c>
    </row>
    <row r="13" spans="1:23" ht="21" customHeight="1">
      <c r="A13" s="22">
        <v>44103.724305555559</v>
      </c>
      <c r="B13" s="27" t="s">
        <v>22</v>
      </c>
      <c r="C13" s="24" t="s">
        <v>23</v>
      </c>
      <c r="D13" s="25">
        <v>282</v>
      </c>
      <c r="E13" s="13"/>
      <c r="F13" s="12">
        <f t="shared" si="0"/>
        <v>0</v>
      </c>
      <c r="G13" s="18">
        <v>44109.368055555555</v>
      </c>
      <c r="H13" s="15" t="str">
        <f t="shared" si="4"/>
        <v>08:50</v>
      </c>
      <c r="I13" s="15">
        <v>44107</v>
      </c>
      <c r="J13" s="20" t="str">
        <f t="shared" si="5"/>
        <v>03/10/20 08:50</v>
      </c>
      <c r="K13" s="15"/>
      <c r="L13" s="7">
        <f t="shared" si="1"/>
        <v>-31506</v>
      </c>
      <c r="M13" s="8">
        <f t="shared" si="2"/>
        <v>44116.368055555555</v>
      </c>
      <c r="N13" s="8">
        <f t="shared" si="3"/>
        <v>44123.368055555555</v>
      </c>
      <c r="O13" s="9"/>
      <c r="P13" s="61">
        <v>72337</v>
      </c>
      <c r="Q13" s="62" t="s">
        <v>82</v>
      </c>
      <c r="R13" s="68">
        <v>44119.645833333336</v>
      </c>
      <c r="S13" s="64">
        <f t="shared" si="6"/>
        <v>135.44999999989523</v>
      </c>
      <c r="T13" s="64">
        <f t="shared" si="7"/>
        <v>87.449999999895226</v>
      </c>
      <c r="U13" s="65">
        <v>846</v>
      </c>
      <c r="V13" s="66"/>
      <c r="W13" s="96" t="s">
        <v>69</v>
      </c>
    </row>
    <row r="14" spans="1:23" ht="21" customHeight="1">
      <c r="A14" s="22">
        <v>44103.724305555559</v>
      </c>
      <c r="B14" s="23" t="s">
        <v>22</v>
      </c>
      <c r="C14" s="24" t="s">
        <v>23</v>
      </c>
      <c r="D14" s="25">
        <v>283.7</v>
      </c>
      <c r="E14" s="11"/>
      <c r="F14" s="12">
        <f t="shared" si="0"/>
        <v>0</v>
      </c>
      <c r="G14" s="18">
        <v>44109.368055555555</v>
      </c>
      <c r="H14" s="15" t="str">
        <f t="shared" si="4"/>
        <v>08:50</v>
      </c>
      <c r="I14" s="15">
        <v>44107</v>
      </c>
      <c r="J14" s="20" t="str">
        <f t="shared" si="5"/>
        <v>03/10/20 08:50</v>
      </c>
      <c r="K14" s="15"/>
      <c r="L14" s="7">
        <f t="shared" si="1"/>
        <v>-31506</v>
      </c>
      <c r="M14" s="8">
        <f t="shared" si="2"/>
        <v>44116.368055555555</v>
      </c>
      <c r="N14" s="8">
        <f t="shared" si="3"/>
        <v>44123.368055555555</v>
      </c>
      <c r="O14" s="9"/>
      <c r="P14" s="61">
        <v>72339</v>
      </c>
      <c r="Q14" s="71"/>
      <c r="R14" s="68"/>
      <c r="S14" s="64">
        <f t="shared" si="6"/>
        <v>135.44999999989523</v>
      </c>
      <c r="T14" s="64">
        <f t="shared" si="7"/>
        <v>87.449999999895226</v>
      </c>
      <c r="U14" s="65">
        <v>3404</v>
      </c>
      <c r="V14" s="66"/>
      <c r="W14" s="96" t="s">
        <v>69</v>
      </c>
    </row>
    <row r="15" spans="1:23" ht="21" customHeight="1">
      <c r="A15" s="22">
        <v>44109.489583333336</v>
      </c>
      <c r="B15" s="23" t="s">
        <v>26</v>
      </c>
      <c r="C15" s="24" t="s">
        <v>27</v>
      </c>
      <c r="D15" s="25">
        <v>165.6</v>
      </c>
      <c r="E15" s="11"/>
      <c r="F15" s="12">
        <f t="shared" si="0"/>
        <v>0</v>
      </c>
      <c r="G15" s="18">
        <v>44109.388888888891</v>
      </c>
      <c r="H15" s="15" t="str">
        <f t="shared" si="4"/>
        <v>09:20</v>
      </c>
      <c r="I15" s="15">
        <v>44109</v>
      </c>
      <c r="J15" s="20" t="str">
        <f t="shared" si="5"/>
        <v>05/10/20 09:20</v>
      </c>
      <c r="K15" s="15"/>
      <c r="L15" s="7">
        <f t="shared" si="1"/>
        <v>-31506</v>
      </c>
      <c r="M15" s="8">
        <f t="shared" si="2"/>
        <v>44116.388888888891</v>
      </c>
      <c r="N15" s="8">
        <f t="shared" si="3"/>
        <v>44123.388888888891</v>
      </c>
      <c r="O15" s="9"/>
      <c r="P15" s="61">
        <v>72340</v>
      </c>
      <c r="Q15" s="62"/>
      <c r="R15" s="68"/>
      <c r="S15" s="64">
        <f t="shared" si="6"/>
        <v>-2.4166666666860692</v>
      </c>
      <c r="T15" s="64">
        <f t="shared" si="7"/>
        <v>-2.4166666666860692</v>
      </c>
      <c r="U15" s="65">
        <v>3312</v>
      </c>
      <c r="V15" s="66"/>
      <c r="W15" s="96" t="s">
        <v>69</v>
      </c>
    </row>
    <row r="16" spans="1:23" ht="21" customHeight="1">
      <c r="A16" s="22">
        <v>44106.388888888891</v>
      </c>
      <c r="B16" s="23" t="s">
        <v>20</v>
      </c>
      <c r="C16" s="24" t="s">
        <v>28</v>
      </c>
      <c r="D16" s="25">
        <v>147.69999999999999</v>
      </c>
      <c r="E16" s="11"/>
      <c r="F16" s="12">
        <f t="shared" si="0"/>
        <v>0</v>
      </c>
      <c r="G16" s="18">
        <v>44109.404861111114</v>
      </c>
      <c r="H16" s="15" t="str">
        <f t="shared" si="4"/>
        <v>09:43</v>
      </c>
      <c r="I16" s="15">
        <v>44107</v>
      </c>
      <c r="J16" s="20" t="str">
        <f t="shared" si="5"/>
        <v>03/10/20 09:43</v>
      </c>
      <c r="K16" s="15"/>
      <c r="L16" s="7">
        <f t="shared" si="1"/>
        <v>-31506</v>
      </c>
      <c r="M16" s="8">
        <v>44109.404861111114</v>
      </c>
      <c r="N16" s="8">
        <f t="shared" si="3"/>
        <v>44116.404861111114</v>
      </c>
      <c r="O16" s="9"/>
      <c r="P16" s="61">
        <v>72341</v>
      </c>
      <c r="Q16" s="62"/>
      <c r="R16" s="68"/>
      <c r="S16" s="64">
        <f t="shared" si="6"/>
        <v>72.383333333360497</v>
      </c>
      <c r="T16" s="64">
        <f t="shared" si="7"/>
        <v>24.383333333360497</v>
      </c>
      <c r="U16" s="65">
        <v>886</v>
      </c>
      <c r="V16" s="66"/>
      <c r="W16" s="96" t="s">
        <v>69</v>
      </c>
    </row>
    <row r="17" spans="1:23" ht="21" customHeight="1">
      <c r="A17" s="22">
        <v>44105.484722222223</v>
      </c>
      <c r="B17" s="23" t="s">
        <v>29</v>
      </c>
      <c r="C17" s="24" t="s">
        <v>30</v>
      </c>
      <c r="D17" s="25">
        <v>275</v>
      </c>
      <c r="E17" s="11"/>
      <c r="F17" s="12">
        <f t="shared" si="0"/>
        <v>0</v>
      </c>
      <c r="G17" s="18">
        <v>44109.46875</v>
      </c>
      <c r="H17" s="15" t="str">
        <f t="shared" si="4"/>
        <v>11:15</v>
      </c>
      <c r="I17" s="15">
        <v>44107</v>
      </c>
      <c r="J17" s="20" t="str">
        <f t="shared" si="5"/>
        <v>03/10/20 11:15</v>
      </c>
      <c r="K17" s="15"/>
      <c r="L17" s="7">
        <f t="shared" si="1"/>
        <v>-31506</v>
      </c>
      <c r="M17" s="8">
        <f t="shared" si="2"/>
        <v>44116.46875</v>
      </c>
      <c r="N17" s="8">
        <f t="shared" si="3"/>
        <v>44123.46875</v>
      </c>
      <c r="O17" s="9"/>
      <c r="P17" s="61">
        <v>72347</v>
      </c>
      <c r="Q17" s="69"/>
      <c r="R17" s="68"/>
      <c r="S17" s="64">
        <f t="shared" si="6"/>
        <v>95.616666666639503</v>
      </c>
      <c r="T17" s="64">
        <f t="shared" si="7"/>
        <v>47.616666666639503</v>
      </c>
      <c r="U17" s="65">
        <v>825</v>
      </c>
      <c r="V17" s="66"/>
      <c r="W17" s="96" t="s">
        <v>69</v>
      </c>
    </row>
    <row r="18" spans="1:23" ht="21" customHeight="1">
      <c r="A18" s="22">
        <v>44105.479166666664</v>
      </c>
      <c r="B18" s="23" t="s">
        <v>31</v>
      </c>
      <c r="C18" s="24" t="s">
        <v>23</v>
      </c>
      <c r="D18" s="25">
        <v>344</v>
      </c>
      <c r="E18" s="11"/>
      <c r="F18" s="12">
        <f t="shared" si="0"/>
        <v>0</v>
      </c>
      <c r="G18" s="18">
        <v>44109.631944444445</v>
      </c>
      <c r="H18" s="15" t="str">
        <f t="shared" si="4"/>
        <v>15:10</v>
      </c>
      <c r="I18" s="15">
        <v>44107</v>
      </c>
      <c r="J18" s="20" t="str">
        <f t="shared" si="5"/>
        <v>03/10/20 15:10</v>
      </c>
      <c r="K18" s="15"/>
      <c r="L18" s="7">
        <f t="shared" si="1"/>
        <v>-31506</v>
      </c>
      <c r="M18" s="8">
        <v>44109.631944444445</v>
      </c>
      <c r="N18" s="8">
        <f t="shared" si="3"/>
        <v>44116.631944444445</v>
      </c>
      <c r="O18" s="9"/>
      <c r="P18" s="61">
        <v>72349</v>
      </c>
      <c r="Q18" s="62"/>
      <c r="R18" s="68"/>
      <c r="S18" s="64">
        <f t="shared" si="6"/>
        <v>99.666666666744277</v>
      </c>
      <c r="T18" s="64">
        <f t="shared" si="7"/>
        <v>51.666666666744277</v>
      </c>
      <c r="U18" s="65">
        <v>17200</v>
      </c>
      <c r="V18" s="66"/>
      <c r="W18" s="96" t="s">
        <v>69</v>
      </c>
    </row>
    <row r="19" spans="1:23" ht="21" customHeight="1">
      <c r="A19" s="22">
        <v>44106.46875</v>
      </c>
      <c r="B19" s="23" t="s">
        <v>32</v>
      </c>
      <c r="C19" s="24" t="s">
        <v>33</v>
      </c>
      <c r="D19" s="25">
        <v>114.8</v>
      </c>
      <c r="E19" s="11"/>
      <c r="F19" s="12">
        <f t="shared" si="0"/>
        <v>0</v>
      </c>
      <c r="G19" s="18">
        <v>44109.65</v>
      </c>
      <c r="H19" s="15" t="str">
        <f t="shared" si="4"/>
        <v>15:36</v>
      </c>
      <c r="I19" s="15">
        <v>44107</v>
      </c>
      <c r="J19" s="20" t="str">
        <f t="shared" si="5"/>
        <v>03/10/20 15:36</v>
      </c>
      <c r="K19" s="15"/>
      <c r="L19" s="7">
        <f t="shared" si="1"/>
        <v>-31506</v>
      </c>
      <c r="M19" s="8">
        <v>44109.65</v>
      </c>
      <c r="N19" s="8">
        <f t="shared" si="3"/>
        <v>44116.65</v>
      </c>
      <c r="O19" s="9"/>
      <c r="P19" s="61">
        <v>72351</v>
      </c>
      <c r="Q19" s="72"/>
      <c r="R19" s="68"/>
      <c r="S19" s="64">
        <f t="shared" si="6"/>
        <v>76.350000000034925</v>
      </c>
      <c r="T19" s="64">
        <f t="shared" si="7"/>
        <v>28.350000000034925</v>
      </c>
      <c r="U19" s="65">
        <v>31640</v>
      </c>
      <c r="V19" s="66"/>
      <c r="W19" s="96" t="s">
        <v>69</v>
      </c>
    </row>
    <row r="20" spans="1:23" ht="21" customHeight="1">
      <c r="A20" s="22">
        <v>44106.46875</v>
      </c>
      <c r="B20" s="23" t="s">
        <v>32</v>
      </c>
      <c r="C20" s="24" t="s">
        <v>33</v>
      </c>
      <c r="D20" s="25">
        <v>151.1</v>
      </c>
      <c r="E20" s="11"/>
      <c r="F20" s="12">
        <f t="shared" si="0"/>
        <v>0</v>
      </c>
      <c r="G20" s="18">
        <v>44109.65</v>
      </c>
      <c r="H20" s="15" t="str">
        <f t="shared" si="4"/>
        <v>15:36</v>
      </c>
      <c r="I20" s="15">
        <v>44107</v>
      </c>
      <c r="J20" s="20" t="str">
        <f t="shared" si="5"/>
        <v>03/10/20 15:36</v>
      </c>
      <c r="K20" s="15"/>
      <c r="L20" s="7">
        <f t="shared" si="1"/>
        <v>-31506</v>
      </c>
      <c r="M20" s="8">
        <v>44109.65</v>
      </c>
      <c r="N20" s="8">
        <f t="shared" si="3"/>
        <v>44116.65</v>
      </c>
      <c r="O20" s="9"/>
      <c r="P20" s="61">
        <v>72353</v>
      </c>
      <c r="Q20" s="71"/>
      <c r="R20" s="68"/>
      <c r="S20" s="64">
        <f t="shared" si="6"/>
        <v>76.350000000034925</v>
      </c>
      <c r="T20" s="64">
        <f t="shared" si="7"/>
        <v>28.350000000034925</v>
      </c>
      <c r="U20" s="65">
        <v>21740</v>
      </c>
      <c r="V20" s="66"/>
      <c r="W20" s="96" t="s">
        <v>69</v>
      </c>
    </row>
    <row r="21" spans="1:23" ht="21" customHeight="1">
      <c r="A21" s="22">
        <v>44106.46875</v>
      </c>
      <c r="B21" s="23" t="s">
        <v>32</v>
      </c>
      <c r="C21" s="24" t="s">
        <v>33</v>
      </c>
      <c r="D21" s="25">
        <v>217.40299999999999</v>
      </c>
      <c r="E21" s="11"/>
      <c r="F21" s="12">
        <f t="shared" si="0"/>
        <v>0</v>
      </c>
      <c r="G21" s="18">
        <v>44109.65</v>
      </c>
      <c r="H21" s="15" t="str">
        <f t="shared" si="4"/>
        <v>15:36</v>
      </c>
      <c r="I21" s="15">
        <v>44107</v>
      </c>
      <c r="J21" s="20" t="str">
        <f t="shared" si="5"/>
        <v>03/10/20 15:36</v>
      </c>
      <c r="K21" s="15"/>
      <c r="L21" s="7">
        <f t="shared" si="1"/>
        <v>-31506</v>
      </c>
      <c r="M21" s="8">
        <v>44109.65</v>
      </c>
      <c r="N21" s="8">
        <f t="shared" si="3"/>
        <v>44116.65</v>
      </c>
      <c r="O21" s="9"/>
      <c r="P21" s="61">
        <v>72354</v>
      </c>
      <c r="Q21" s="71"/>
      <c r="R21" s="68"/>
      <c r="S21" s="64">
        <f t="shared" si="6"/>
        <v>76.350000000034925</v>
      </c>
      <c r="T21" s="64">
        <f t="shared" si="7"/>
        <v>28.350000000034925</v>
      </c>
      <c r="U21" s="65">
        <v>15110</v>
      </c>
      <c r="V21" s="66"/>
      <c r="W21" s="96" t="s">
        <v>69</v>
      </c>
    </row>
    <row r="22" spans="1:23" ht="21" customHeight="1">
      <c r="A22" s="22">
        <v>44106.46875</v>
      </c>
      <c r="B22" s="23" t="s">
        <v>32</v>
      </c>
      <c r="C22" s="24" t="s">
        <v>33</v>
      </c>
      <c r="D22" s="25">
        <v>316.39999999999998</v>
      </c>
      <c r="E22" s="11"/>
      <c r="F22" s="12">
        <f t="shared" si="0"/>
        <v>0</v>
      </c>
      <c r="G22" s="18">
        <v>44109.65</v>
      </c>
      <c r="H22" s="15" t="str">
        <f t="shared" si="4"/>
        <v>15:36</v>
      </c>
      <c r="I22" s="15">
        <v>44107</v>
      </c>
      <c r="J22" s="20" t="str">
        <f t="shared" si="5"/>
        <v>03/10/20 15:36</v>
      </c>
      <c r="K22" s="15"/>
      <c r="L22" s="7">
        <f t="shared" si="1"/>
        <v>-31506</v>
      </c>
      <c r="M22" s="8">
        <v>44109.65</v>
      </c>
      <c r="N22" s="8">
        <f t="shared" si="3"/>
        <v>44116.65</v>
      </c>
      <c r="O22" s="9"/>
      <c r="P22" s="61">
        <v>72356</v>
      </c>
      <c r="Q22" s="71"/>
      <c r="R22" s="68"/>
      <c r="S22" s="64">
        <f t="shared" si="6"/>
        <v>76.350000000034925</v>
      </c>
      <c r="T22" s="64">
        <f t="shared" si="7"/>
        <v>28.350000000034925</v>
      </c>
      <c r="U22" s="65">
        <v>11480</v>
      </c>
      <c r="V22" s="66"/>
      <c r="W22" s="96" t="s">
        <v>69</v>
      </c>
    </row>
    <row r="23" spans="1:23" ht="21" customHeight="1">
      <c r="A23" s="22">
        <v>44106.469444444447</v>
      </c>
      <c r="B23" s="23" t="s">
        <v>34</v>
      </c>
      <c r="C23" s="24" t="s">
        <v>35</v>
      </c>
      <c r="D23" s="25">
        <v>290.60000000000002</v>
      </c>
      <c r="E23" s="11"/>
      <c r="F23" s="12">
        <f t="shared" si="0"/>
        <v>0</v>
      </c>
      <c r="G23" s="18">
        <v>44109.67083333333</v>
      </c>
      <c r="H23" s="15" t="str">
        <f t="shared" si="4"/>
        <v>16:06</v>
      </c>
      <c r="I23" s="15">
        <v>44107</v>
      </c>
      <c r="J23" s="20" t="str">
        <f t="shared" si="5"/>
        <v>03/10/20 16:06</v>
      </c>
      <c r="K23" s="15"/>
      <c r="L23" s="7">
        <f t="shared" si="1"/>
        <v>-31506</v>
      </c>
      <c r="M23" s="8">
        <v>44109.67083333333</v>
      </c>
      <c r="N23" s="8">
        <f t="shared" si="3"/>
        <v>44116.67083333333</v>
      </c>
      <c r="O23" s="9"/>
      <c r="P23" s="61">
        <v>72359</v>
      </c>
      <c r="Q23" s="71"/>
      <c r="R23" s="68"/>
      <c r="S23" s="64">
        <f t="shared" si="6"/>
        <v>76.833333333197515</v>
      </c>
      <c r="T23" s="64">
        <f t="shared" si="7"/>
        <v>28.833333333197515</v>
      </c>
      <c r="U23" s="65">
        <v>2906</v>
      </c>
      <c r="V23" s="66"/>
      <c r="W23" s="96" t="s">
        <v>69</v>
      </c>
    </row>
    <row r="24" spans="1:23" ht="21" customHeight="1">
      <c r="A24" s="22">
        <v>44109.585416666669</v>
      </c>
      <c r="B24" s="23" t="s">
        <v>18</v>
      </c>
      <c r="C24" s="24" t="s">
        <v>19</v>
      </c>
      <c r="D24" s="25">
        <v>60.1</v>
      </c>
      <c r="E24" s="11"/>
      <c r="F24" s="12">
        <f t="shared" si="0"/>
        <v>0</v>
      </c>
      <c r="G24" s="18">
        <v>44109.6875</v>
      </c>
      <c r="H24" s="15" t="str">
        <f t="shared" si="4"/>
        <v>16:30</v>
      </c>
      <c r="I24" s="15">
        <v>44109</v>
      </c>
      <c r="J24" s="20" t="str">
        <f t="shared" si="5"/>
        <v>05/10/20 16:30</v>
      </c>
      <c r="K24" s="15"/>
      <c r="L24" s="7">
        <f t="shared" si="1"/>
        <v>-31506</v>
      </c>
      <c r="M24" s="8">
        <v>44109.6875</v>
      </c>
      <c r="N24" s="8">
        <f t="shared" si="3"/>
        <v>44116.6875</v>
      </c>
      <c r="O24" s="9"/>
      <c r="P24" s="61">
        <v>72364</v>
      </c>
      <c r="Q24" s="71" t="s">
        <v>86</v>
      </c>
      <c r="R24" s="68">
        <v>44110.436111111114</v>
      </c>
      <c r="S24" s="64">
        <f t="shared" si="6"/>
        <v>2.4499999999534339</v>
      </c>
      <c r="T24" s="64">
        <f t="shared" si="7"/>
        <v>2.4499999999534339</v>
      </c>
      <c r="U24" s="65">
        <v>1803</v>
      </c>
      <c r="V24" s="66"/>
      <c r="W24" s="96" t="s">
        <v>69</v>
      </c>
    </row>
    <row r="25" spans="1:23" ht="21" customHeight="1">
      <c r="A25" s="22">
        <v>44109.65625</v>
      </c>
      <c r="B25" s="23" t="s">
        <v>22</v>
      </c>
      <c r="C25" s="24" t="s">
        <v>23</v>
      </c>
      <c r="D25" s="25">
        <v>29.8</v>
      </c>
      <c r="E25" s="11"/>
      <c r="F25" s="12">
        <f t="shared" si="0"/>
        <v>0</v>
      </c>
      <c r="G25" s="18">
        <v>44110.478472222225</v>
      </c>
      <c r="H25" s="15" t="str">
        <f t="shared" si="4"/>
        <v>11:29</v>
      </c>
      <c r="I25" s="15">
        <v>44110</v>
      </c>
      <c r="J25" s="20" t="str">
        <f t="shared" si="5"/>
        <v>06/10/20 11:29</v>
      </c>
      <c r="K25" s="15"/>
      <c r="L25" s="7">
        <f t="shared" si="1"/>
        <v>-31507</v>
      </c>
      <c r="M25" s="8">
        <f t="shared" si="2"/>
        <v>44117.478472222225</v>
      </c>
      <c r="N25" s="8">
        <f t="shared" si="3"/>
        <v>44124.478472222225</v>
      </c>
      <c r="O25" s="9"/>
      <c r="P25" s="61">
        <v>72379</v>
      </c>
      <c r="Q25" s="71"/>
      <c r="R25" s="68"/>
      <c r="S25" s="64">
        <f t="shared" si="6"/>
        <v>19.733333333395422</v>
      </c>
      <c r="T25" s="64">
        <f t="shared" si="7"/>
        <v>19.733333333395422</v>
      </c>
      <c r="U25" s="65">
        <v>3576</v>
      </c>
      <c r="V25" s="66"/>
      <c r="W25" s="96" t="s">
        <v>69</v>
      </c>
    </row>
    <row r="26" spans="1:23" ht="21" customHeight="1">
      <c r="A26" s="22">
        <v>44109.595833333333</v>
      </c>
      <c r="B26" s="23" t="s">
        <v>36</v>
      </c>
      <c r="C26" s="24" t="s">
        <v>37</v>
      </c>
      <c r="D26" s="25">
        <v>96.9</v>
      </c>
      <c r="E26" s="11"/>
      <c r="F26" s="12">
        <f t="shared" si="0"/>
        <v>0</v>
      </c>
      <c r="G26" s="18">
        <v>44110.59097222222</v>
      </c>
      <c r="H26" s="15" t="str">
        <f t="shared" si="4"/>
        <v>14:11</v>
      </c>
      <c r="I26" s="15">
        <v>44110</v>
      </c>
      <c r="J26" s="20" t="str">
        <f t="shared" si="5"/>
        <v>06/10/20 14:11</v>
      </c>
      <c r="K26" s="15"/>
      <c r="L26" s="7">
        <f t="shared" si="1"/>
        <v>-31507</v>
      </c>
      <c r="M26" s="8">
        <f t="shared" si="2"/>
        <v>44117.59097222222</v>
      </c>
      <c r="N26" s="8">
        <f t="shared" si="3"/>
        <v>44124.59097222222</v>
      </c>
      <c r="O26" s="9"/>
      <c r="P26" s="61">
        <v>72383</v>
      </c>
      <c r="Q26" s="71"/>
      <c r="R26" s="68"/>
      <c r="S26" s="64">
        <f t="shared" si="6"/>
        <v>23.883333333302289</v>
      </c>
      <c r="T26" s="64">
        <f t="shared" si="7"/>
        <v>23.883333333302289</v>
      </c>
      <c r="U26" s="65">
        <v>1938</v>
      </c>
      <c r="V26" s="66"/>
      <c r="W26" s="96" t="s">
        <v>69</v>
      </c>
    </row>
    <row r="27" spans="1:23" ht="21" customHeight="1">
      <c r="A27" s="22">
        <v>44109.595833333333</v>
      </c>
      <c r="B27" s="23" t="s">
        <v>36</v>
      </c>
      <c r="C27" s="24" t="s">
        <v>37</v>
      </c>
      <c r="D27" s="25">
        <v>67.3</v>
      </c>
      <c r="E27" s="11"/>
      <c r="F27" s="12">
        <f t="shared" si="0"/>
        <v>0</v>
      </c>
      <c r="G27" s="18">
        <v>44110.59097222222</v>
      </c>
      <c r="H27" s="15" t="str">
        <f t="shared" si="4"/>
        <v>14:11</v>
      </c>
      <c r="I27" s="15">
        <v>44110</v>
      </c>
      <c r="J27" s="20" t="str">
        <f t="shared" si="5"/>
        <v>06/10/20 14:11</v>
      </c>
      <c r="K27" s="15"/>
      <c r="L27" s="7">
        <f t="shared" si="1"/>
        <v>-31507</v>
      </c>
      <c r="M27" s="8">
        <f t="shared" si="2"/>
        <v>44117.59097222222</v>
      </c>
      <c r="N27" s="8">
        <f t="shared" si="3"/>
        <v>44124.59097222222</v>
      </c>
      <c r="O27" s="9"/>
      <c r="P27" s="61">
        <v>72387</v>
      </c>
      <c r="Q27" s="71"/>
      <c r="R27" s="68"/>
      <c r="S27" s="64">
        <f t="shared" si="6"/>
        <v>23.883333333302289</v>
      </c>
      <c r="T27" s="64">
        <f t="shared" si="7"/>
        <v>23.883333333302289</v>
      </c>
      <c r="U27" s="65">
        <v>2019</v>
      </c>
      <c r="V27" s="66"/>
      <c r="W27" s="96" t="s">
        <v>69</v>
      </c>
    </row>
    <row r="28" spans="1:23" ht="21" customHeight="1">
      <c r="A28" s="22">
        <v>44110.581944444442</v>
      </c>
      <c r="B28" s="23" t="s">
        <v>32</v>
      </c>
      <c r="C28" s="24" t="s">
        <v>33</v>
      </c>
      <c r="D28" s="25">
        <v>380.8</v>
      </c>
      <c r="E28" s="11"/>
      <c r="F28" s="12">
        <f t="shared" si="0"/>
        <v>0</v>
      </c>
      <c r="G28" s="18">
        <v>44110.638888888891</v>
      </c>
      <c r="H28" s="15" t="str">
        <f t="shared" si="4"/>
        <v>15:20</v>
      </c>
      <c r="I28" s="15">
        <v>44110</v>
      </c>
      <c r="J28" s="20" t="str">
        <f t="shared" si="5"/>
        <v>06/10/20 15:20</v>
      </c>
      <c r="K28" s="15"/>
      <c r="L28" s="7">
        <f t="shared" si="1"/>
        <v>-31507</v>
      </c>
      <c r="M28" s="8">
        <v>44110.638888888891</v>
      </c>
      <c r="N28" s="8">
        <f t="shared" si="3"/>
        <v>44117.638888888891</v>
      </c>
      <c r="O28" s="9"/>
      <c r="P28" s="61">
        <v>72394</v>
      </c>
      <c r="Q28" s="71"/>
      <c r="R28" s="68"/>
      <c r="S28" s="64">
        <f t="shared" si="6"/>
        <v>1.3666666667559184</v>
      </c>
      <c r="T28" s="64">
        <f t="shared" si="7"/>
        <v>1.3666666667559184</v>
      </c>
      <c r="U28" s="65">
        <v>1904</v>
      </c>
      <c r="V28" s="66"/>
      <c r="W28" s="96" t="s">
        <v>69</v>
      </c>
    </row>
    <row r="29" spans="1:23" ht="21" customHeight="1">
      <c r="A29" s="22">
        <v>44111.467361111114</v>
      </c>
      <c r="B29" s="23" t="s">
        <v>38</v>
      </c>
      <c r="C29" s="24" t="s">
        <v>19</v>
      </c>
      <c r="D29" s="25">
        <v>717.9</v>
      </c>
      <c r="E29" s="11"/>
      <c r="F29" s="12">
        <f t="shared" si="0"/>
        <v>0</v>
      </c>
      <c r="G29" s="18">
        <v>44111.675000000003</v>
      </c>
      <c r="H29" s="15" t="str">
        <f t="shared" si="4"/>
        <v>16:12</v>
      </c>
      <c r="I29" s="15">
        <v>44111</v>
      </c>
      <c r="J29" s="20" t="str">
        <f t="shared" si="5"/>
        <v>07/10/20 16:12</v>
      </c>
      <c r="K29" s="15"/>
      <c r="L29" s="7">
        <f t="shared" si="1"/>
        <v>-31508</v>
      </c>
      <c r="M29" s="8">
        <v>44111.675000000003</v>
      </c>
      <c r="N29" s="8">
        <f t="shared" si="3"/>
        <v>44118.675000000003</v>
      </c>
      <c r="O29" s="9"/>
      <c r="P29" s="61">
        <v>72404</v>
      </c>
      <c r="Q29" s="71"/>
      <c r="R29" s="68"/>
      <c r="S29" s="64">
        <f t="shared" si="6"/>
        <v>4.9833333333372138</v>
      </c>
      <c r="T29" s="64">
        <f t="shared" si="7"/>
        <v>4.9833333333372138</v>
      </c>
      <c r="U29" s="65">
        <v>3589.5</v>
      </c>
      <c r="V29" s="66"/>
      <c r="W29" s="96" t="s">
        <v>69</v>
      </c>
    </row>
    <row r="30" spans="1:23" ht="21" customHeight="1">
      <c r="A30" s="22">
        <v>44110.655555555553</v>
      </c>
      <c r="B30" s="23" t="s">
        <v>39</v>
      </c>
      <c r="C30" s="24" t="s">
        <v>40</v>
      </c>
      <c r="D30" s="25">
        <v>125.9</v>
      </c>
      <c r="E30" s="11"/>
      <c r="F30" s="12">
        <f t="shared" si="0"/>
        <v>0</v>
      </c>
      <c r="G30" s="18">
        <v>44111.604861111111</v>
      </c>
      <c r="H30" s="15" t="str">
        <f t="shared" si="4"/>
        <v>14:31</v>
      </c>
      <c r="I30" s="15">
        <v>44111</v>
      </c>
      <c r="J30" s="20" t="str">
        <f t="shared" si="5"/>
        <v>07/10/20 14:31</v>
      </c>
      <c r="K30" s="15"/>
      <c r="L30" s="7">
        <f t="shared" si="1"/>
        <v>-31508</v>
      </c>
      <c r="M30" s="8">
        <f t="shared" si="2"/>
        <v>44118.604861111111</v>
      </c>
      <c r="N30" s="8">
        <f t="shared" si="3"/>
        <v>44125.604861111111</v>
      </c>
      <c r="O30" s="9"/>
      <c r="P30" s="61">
        <v>72405</v>
      </c>
      <c r="Q30" s="71"/>
      <c r="R30" s="68"/>
      <c r="S30" s="64">
        <f t="shared" si="6"/>
        <v>22.78333333338378</v>
      </c>
      <c r="T30" s="64">
        <f t="shared" si="7"/>
        <v>22.78333333338378</v>
      </c>
      <c r="U30" s="65">
        <v>3777</v>
      </c>
      <c r="V30" s="66"/>
      <c r="W30" s="96" t="s">
        <v>69</v>
      </c>
    </row>
    <row r="31" spans="1:23" ht="21" customHeight="1">
      <c r="A31" s="22">
        <v>44110.655555555553</v>
      </c>
      <c r="B31" s="23" t="s">
        <v>39</v>
      </c>
      <c r="C31" s="24" t="s">
        <v>40</v>
      </c>
      <c r="D31" s="25">
        <v>142.19999999999999</v>
      </c>
      <c r="E31" s="11"/>
      <c r="F31" s="12">
        <f t="shared" si="0"/>
        <v>0</v>
      </c>
      <c r="G31" s="18">
        <v>44111.631944444445</v>
      </c>
      <c r="H31" s="15" t="str">
        <f t="shared" si="4"/>
        <v>15:10</v>
      </c>
      <c r="I31" s="15">
        <v>44111</v>
      </c>
      <c r="J31" s="20" t="str">
        <f t="shared" si="5"/>
        <v>07/10/20 15:10</v>
      </c>
      <c r="K31" s="15"/>
      <c r="L31" s="7">
        <f t="shared" si="1"/>
        <v>-31508</v>
      </c>
      <c r="M31" s="8">
        <f t="shared" si="2"/>
        <v>44118.631944444445</v>
      </c>
      <c r="N31" s="8">
        <f t="shared" si="3"/>
        <v>44125.631944444445</v>
      </c>
      <c r="O31" s="9"/>
      <c r="P31" s="61">
        <v>72415</v>
      </c>
      <c r="Q31" s="71"/>
      <c r="R31" s="68"/>
      <c r="S31" s="64">
        <f t="shared" si="6"/>
        <v>23.433333333407063</v>
      </c>
      <c r="T31" s="64">
        <f t="shared" si="7"/>
        <v>23.433333333407063</v>
      </c>
      <c r="U31" s="65">
        <v>4266</v>
      </c>
      <c r="V31" s="66"/>
      <c r="W31" s="96" t="s">
        <v>69</v>
      </c>
    </row>
    <row r="32" spans="1:23" ht="21" customHeight="1">
      <c r="A32" s="22">
        <v>44111.699305555558</v>
      </c>
      <c r="B32" s="22" t="s">
        <v>41</v>
      </c>
      <c r="C32" s="22" t="s">
        <v>42</v>
      </c>
      <c r="D32" s="25">
        <v>188</v>
      </c>
      <c r="E32" s="4"/>
      <c r="F32" s="12">
        <f t="shared" si="0"/>
        <v>0</v>
      </c>
      <c r="G32" s="18">
        <v>44112.336805555555</v>
      </c>
      <c r="H32" s="15" t="str">
        <f t="shared" si="4"/>
        <v>08:05</v>
      </c>
      <c r="I32" s="15">
        <v>44112</v>
      </c>
      <c r="J32" s="20" t="str">
        <f t="shared" si="5"/>
        <v>08/10/20 08:05</v>
      </c>
      <c r="K32" s="15"/>
      <c r="L32" s="7">
        <f t="shared" si="1"/>
        <v>-31509</v>
      </c>
      <c r="M32" s="8">
        <f t="shared" si="2"/>
        <v>44119.336805555555</v>
      </c>
      <c r="N32" s="8">
        <f t="shared" si="3"/>
        <v>44126.336805555555</v>
      </c>
      <c r="O32" s="9"/>
      <c r="P32" s="61">
        <v>72429</v>
      </c>
      <c r="Q32" s="71" t="s">
        <v>77</v>
      </c>
      <c r="R32" s="68">
        <v>44112.600694444445</v>
      </c>
      <c r="S32" s="64">
        <f t="shared" si="6"/>
        <v>15.299999999930151</v>
      </c>
      <c r="T32" s="64">
        <f t="shared" si="7"/>
        <v>15.299999999930151</v>
      </c>
      <c r="U32" s="65">
        <v>2820</v>
      </c>
      <c r="V32" s="66"/>
      <c r="W32" s="96" t="s">
        <v>69</v>
      </c>
    </row>
    <row r="33" spans="1:23" ht="21" customHeight="1">
      <c r="A33" s="22">
        <v>44111.418055555558</v>
      </c>
      <c r="B33" s="22" t="s">
        <v>43</v>
      </c>
      <c r="C33" s="22" t="s">
        <v>40</v>
      </c>
      <c r="D33" s="25">
        <v>247.6</v>
      </c>
      <c r="E33" s="4"/>
      <c r="F33" s="12">
        <f t="shared" si="0"/>
        <v>0</v>
      </c>
      <c r="G33" s="18">
        <v>44112.40625</v>
      </c>
      <c r="H33" s="15" t="str">
        <f t="shared" si="4"/>
        <v>09:45</v>
      </c>
      <c r="I33" s="15">
        <v>44112</v>
      </c>
      <c r="J33" s="20" t="str">
        <f t="shared" si="5"/>
        <v>08/10/20 09:45</v>
      </c>
      <c r="K33" s="15"/>
      <c r="L33" s="7">
        <f t="shared" si="1"/>
        <v>-31509</v>
      </c>
      <c r="M33" s="8">
        <f t="shared" si="2"/>
        <v>44119.40625</v>
      </c>
      <c r="N33" s="8">
        <f t="shared" si="3"/>
        <v>44126.40625</v>
      </c>
      <c r="O33" s="9"/>
      <c r="P33" s="61">
        <v>72430</v>
      </c>
      <c r="Q33" s="71"/>
      <c r="R33" s="68"/>
      <c r="S33" s="64">
        <f t="shared" si="6"/>
        <v>23.71666666661622</v>
      </c>
      <c r="T33" s="64">
        <f t="shared" si="7"/>
        <v>23.71666666661622</v>
      </c>
      <c r="U33" s="65">
        <v>1238</v>
      </c>
      <c r="V33" s="66"/>
      <c r="W33" s="96" t="s">
        <v>69</v>
      </c>
    </row>
    <row r="34" spans="1:23" ht="21" customHeight="1">
      <c r="A34" s="22">
        <v>44111.67291666667</v>
      </c>
      <c r="B34" s="22" t="s">
        <v>36</v>
      </c>
      <c r="C34" s="22" t="s">
        <v>37</v>
      </c>
      <c r="D34" s="25">
        <v>265.7</v>
      </c>
      <c r="E34" s="4"/>
      <c r="F34" s="12">
        <f t="shared" si="0"/>
        <v>0</v>
      </c>
      <c r="G34" s="18">
        <v>44112.647916666669</v>
      </c>
      <c r="H34" s="15" t="str">
        <f t="shared" si="4"/>
        <v>15:33</v>
      </c>
      <c r="I34" s="15">
        <v>44112</v>
      </c>
      <c r="J34" s="20" t="str">
        <f t="shared" si="5"/>
        <v>08/10/20 15:33</v>
      </c>
      <c r="K34" s="15"/>
      <c r="L34" s="7">
        <f t="shared" si="1"/>
        <v>-31509</v>
      </c>
      <c r="M34" s="8">
        <f t="shared" si="2"/>
        <v>44119.647916666669</v>
      </c>
      <c r="N34" s="8">
        <f t="shared" si="3"/>
        <v>44126.647916666669</v>
      </c>
      <c r="O34" s="9"/>
      <c r="P34" s="61">
        <v>72431</v>
      </c>
      <c r="Q34" s="71"/>
      <c r="R34" s="68"/>
      <c r="S34" s="64">
        <f t="shared" si="6"/>
        <v>23.399999999965075</v>
      </c>
      <c r="T34" s="64">
        <f t="shared" si="7"/>
        <v>23.399999999965075</v>
      </c>
      <c r="U34" s="65">
        <v>797.1</v>
      </c>
      <c r="V34" s="66"/>
      <c r="W34" s="96" t="s">
        <v>69</v>
      </c>
    </row>
    <row r="35" spans="1:23" ht="21" customHeight="1">
      <c r="A35" s="22">
        <v>44111.67291666667</v>
      </c>
      <c r="B35" s="22" t="s">
        <v>36</v>
      </c>
      <c r="C35" s="22" t="s">
        <v>37</v>
      </c>
      <c r="D35" s="25">
        <v>246.3</v>
      </c>
      <c r="E35" s="4"/>
      <c r="F35" s="12">
        <f t="shared" si="0"/>
        <v>0</v>
      </c>
      <c r="G35" s="18">
        <v>44112.647916666669</v>
      </c>
      <c r="H35" s="15" t="str">
        <f t="shared" si="4"/>
        <v>15:33</v>
      </c>
      <c r="I35" s="15">
        <v>44112</v>
      </c>
      <c r="J35" s="20" t="str">
        <f t="shared" si="5"/>
        <v>08/10/20 15:33</v>
      </c>
      <c r="K35" s="15"/>
      <c r="L35" s="7">
        <f t="shared" si="1"/>
        <v>-31509</v>
      </c>
      <c r="M35" s="8">
        <f t="shared" si="2"/>
        <v>44119.647916666669</v>
      </c>
      <c r="N35" s="8">
        <f t="shared" si="3"/>
        <v>44126.647916666669</v>
      </c>
      <c r="O35" s="9"/>
      <c r="P35" s="61">
        <v>72440</v>
      </c>
      <c r="Q35" s="71" t="s">
        <v>79</v>
      </c>
      <c r="R35" s="68" t="s">
        <v>80</v>
      </c>
      <c r="S35" s="64">
        <f t="shared" si="6"/>
        <v>23.399999999965075</v>
      </c>
      <c r="T35" s="64">
        <f t="shared" si="7"/>
        <v>23.399999999965075</v>
      </c>
      <c r="U35" s="65">
        <v>738.9</v>
      </c>
      <c r="V35" s="66"/>
      <c r="W35" s="96" t="s">
        <v>69</v>
      </c>
    </row>
    <row r="36" spans="1:23" ht="21" customHeight="1">
      <c r="A36" s="22">
        <v>44112.486805555556</v>
      </c>
      <c r="B36" s="22" t="s">
        <v>44</v>
      </c>
      <c r="C36" s="22" t="s">
        <v>45</v>
      </c>
      <c r="D36" s="25">
        <v>75.599999999999994</v>
      </c>
      <c r="E36" s="4"/>
      <c r="F36" s="12">
        <f t="shared" ref="F36:F67" si="8">IFERROR((D36/E36),"1")-1</f>
        <v>0</v>
      </c>
      <c r="G36" s="18">
        <v>44112.491666666669</v>
      </c>
      <c r="H36" s="15" t="str">
        <f t="shared" si="4"/>
        <v>11:48</v>
      </c>
      <c r="I36" s="15">
        <v>44112</v>
      </c>
      <c r="J36" s="20" t="str">
        <f t="shared" si="5"/>
        <v>08/10/20 11:48</v>
      </c>
      <c r="K36" s="15"/>
      <c r="L36" s="7">
        <f t="shared" si="1"/>
        <v>-31509</v>
      </c>
      <c r="M36" s="8">
        <v>44112.491666666669</v>
      </c>
      <c r="N36" s="8">
        <f t="shared" ref="N36:N67" si="9">M36+7</f>
        <v>44119.491666666669</v>
      </c>
      <c r="O36" s="9"/>
      <c r="P36" s="61">
        <v>72442</v>
      </c>
      <c r="Q36" s="71"/>
      <c r="R36" s="68"/>
      <c r="S36" s="64">
        <f t="shared" si="6"/>
        <v>0.11666666669771075</v>
      </c>
      <c r="T36" s="64">
        <f t="shared" si="7"/>
        <v>0.11666666669771075</v>
      </c>
      <c r="U36" s="65">
        <v>2268</v>
      </c>
      <c r="V36" s="66"/>
      <c r="W36" s="96" t="s">
        <v>69</v>
      </c>
    </row>
    <row r="37" spans="1:23" ht="21" customHeight="1">
      <c r="A37" s="22">
        <v>44111.46597222222</v>
      </c>
      <c r="B37" s="22" t="s">
        <v>44</v>
      </c>
      <c r="C37" s="22" t="s">
        <v>45</v>
      </c>
      <c r="D37" s="25">
        <v>215.3</v>
      </c>
      <c r="E37" s="4"/>
      <c r="F37" s="12">
        <f t="shared" si="8"/>
        <v>0</v>
      </c>
      <c r="G37" s="18">
        <v>44112.643055555556</v>
      </c>
      <c r="H37" s="15" t="str">
        <f t="shared" si="4"/>
        <v>15:26</v>
      </c>
      <c r="I37" s="15">
        <v>44112</v>
      </c>
      <c r="J37" s="20" t="str">
        <f t="shared" si="5"/>
        <v>08/10/20 15:26</v>
      </c>
      <c r="K37" s="15"/>
      <c r="L37" s="7">
        <f t="shared" si="1"/>
        <v>-31509</v>
      </c>
      <c r="M37" s="8">
        <v>44112.643055555556</v>
      </c>
      <c r="N37" s="8">
        <f t="shared" si="9"/>
        <v>44119.643055555556</v>
      </c>
      <c r="O37" s="9"/>
      <c r="P37" s="61">
        <v>72444</v>
      </c>
      <c r="Q37" s="71"/>
      <c r="R37" s="68"/>
      <c r="S37" s="64">
        <f t="shared" si="6"/>
        <v>28.250000000058208</v>
      </c>
      <c r="T37" s="64">
        <f t="shared" si="7"/>
        <v>28.250000000058208</v>
      </c>
      <c r="U37" s="65">
        <v>989.1</v>
      </c>
      <c r="V37" s="66"/>
      <c r="W37" s="96" t="s">
        <v>69</v>
      </c>
    </row>
    <row r="38" spans="1:23" ht="21" customHeight="1">
      <c r="A38" s="22">
        <v>44111.46597222222</v>
      </c>
      <c r="B38" s="22" t="s">
        <v>44</v>
      </c>
      <c r="C38" s="22" t="s">
        <v>45</v>
      </c>
      <c r="D38" s="25">
        <v>315.7</v>
      </c>
      <c r="E38" s="4"/>
      <c r="F38" s="12">
        <f t="shared" si="8"/>
        <v>0</v>
      </c>
      <c r="G38" s="18">
        <v>44112.643055555556</v>
      </c>
      <c r="H38" s="15" t="str">
        <f t="shared" si="4"/>
        <v>15:26</v>
      </c>
      <c r="I38" s="15">
        <v>44112</v>
      </c>
      <c r="J38" s="20" t="str">
        <f t="shared" si="5"/>
        <v>08/10/20 15:26</v>
      </c>
      <c r="K38" s="15"/>
      <c r="L38" s="7">
        <f t="shared" si="1"/>
        <v>-31509</v>
      </c>
      <c r="M38" s="8">
        <v>44112.643055555556</v>
      </c>
      <c r="N38" s="8">
        <f t="shared" si="9"/>
        <v>44119.643055555556</v>
      </c>
      <c r="O38" s="9"/>
      <c r="P38" s="61">
        <v>72450</v>
      </c>
      <c r="Q38" s="71"/>
      <c r="R38" s="68"/>
      <c r="S38" s="64">
        <f t="shared" si="6"/>
        <v>28.250000000058208</v>
      </c>
      <c r="T38" s="64">
        <f t="shared" si="7"/>
        <v>28.250000000058208</v>
      </c>
      <c r="U38" s="65">
        <v>947.1</v>
      </c>
      <c r="V38" s="66"/>
      <c r="W38" s="96" t="s">
        <v>69</v>
      </c>
    </row>
    <row r="39" spans="1:23" ht="21" customHeight="1">
      <c r="A39" s="22">
        <v>44111.46597222222</v>
      </c>
      <c r="B39" s="22" t="s">
        <v>44</v>
      </c>
      <c r="C39" s="22" t="s">
        <v>45</v>
      </c>
      <c r="D39" s="25">
        <v>329.7</v>
      </c>
      <c r="E39" s="4"/>
      <c r="F39" s="12">
        <f t="shared" si="8"/>
        <v>0</v>
      </c>
      <c r="G39" s="18">
        <v>44112.643055555556</v>
      </c>
      <c r="H39" s="15" t="str">
        <f t="shared" si="4"/>
        <v>15:26</v>
      </c>
      <c r="I39" s="15">
        <v>44112</v>
      </c>
      <c r="J39" s="20" t="str">
        <f t="shared" si="5"/>
        <v>08/10/20 15:26</v>
      </c>
      <c r="K39" s="15"/>
      <c r="L39" s="7">
        <f t="shared" si="1"/>
        <v>-31509</v>
      </c>
      <c r="M39" s="8">
        <v>44112.643055555556</v>
      </c>
      <c r="N39" s="8">
        <f t="shared" si="9"/>
        <v>44119.643055555556</v>
      </c>
      <c r="O39" s="9"/>
      <c r="P39" s="61">
        <v>72452</v>
      </c>
      <c r="Q39" s="71"/>
      <c r="R39" s="68"/>
      <c r="S39" s="64">
        <f t="shared" si="6"/>
        <v>28.250000000058208</v>
      </c>
      <c r="T39" s="64">
        <f t="shared" si="7"/>
        <v>28.250000000058208</v>
      </c>
      <c r="U39" s="65">
        <v>645.9</v>
      </c>
      <c r="V39" s="66"/>
      <c r="W39" s="96" t="s">
        <v>69</v>
      </c>
    </row>
    <row r="40" spans="1:23" ht="21" customHeight="1">
      <c r="A40" s="22">
        <v>44111.753472222219</v>
      </c>
      <c r="B40" s="22" t="s">
        <v>20</v>
      </c>
      <c r="C40" s="22" t="s">
        <v>21</v>
      </c>
      <c r="D40" s="25">
        <v>209</v>
      </c>
      <c r="E40" s="4"/>
      <c r="F40" s="12">
        <f t="shared" si="8"/>
        <v>0</v>
      </c>
      <c r="G40" s="18">
        <v>44112.697222222225</v>
      </c>
      <c r="H40" s="15" t="str">
        <f t="shared" si="4"/>
        <v>16:44</v>
      </c>
      <c r="I40" s="15">
        <v>44112</v>
      </c>
      <c r="J40" s="20" t="str">
        <f t="shared" si="5"/>
        <v>08/10/20 16:44</v>
      </c>
      <c r="K40" s="15"/>
      <c r="L40" s="7">
        <f t="shared" si="1"/>
        <v>-31509</v>
      </c>
      <c r="M40" s="8">
        <f t="shared" ref="M40:M61" si="10">G40+7</f>
        <v>44119.697222222225</v>
      </c>
      <c r="N40" s="8">
        <f t="shared" si="9"/>
        <v>44126.697222222225</v>
      </c>
      <c r="O40" s="9"/>
      <c r="P40" s="61">
        <v>72455</v>
      </c>
      <c r="Q40" s="71"/>
      <c r="R40" s="68"/>
      <c r="S40" s="64">
        <f t="shared" si="6"/>
        <v>22.650000000139698</v>
      </c>
      <c r="T40" s="64">
        <f t="shared" si="7"/>
        <v>22.650000000139698</v>
      </c>
      <c r="U40" s="65">
        <v>2090</v>
      </c>
      <c r="V40" s="66"/>
      <c r="W40" s="96" t="s">
        <v>69</v>
      </c>
    </row>
    <row r="41" spans="1:23" ht="21" customHeight="1">
      <c r="A41" s="22">
        <v>44111.835416666669</v>
      </c>
      <c r="B41" s="22" t="s">
        <v>36</v>
      </c>
      <c r="C41" s="22" t="s">
        <v>37</v>
      </c>
      <c r="D41" s="25">
        <v>200.3</v>
      </c>
      <c r="E41" s="4"/>
      <c r="F41" s="12">
        <f t="shared" si="8"/>
        <v>0</v>
      </c>
      <c r="G41" s="18">
        <v>44113.635416666664</v>
      </c>
      <c r="H41" s="15" t="str">
        <f t="shared" si="4"/>
        <v>15:15</v>
      </c>
      <c r="I41" s="15">
        <v>44113</v>
      </c>
      <c r="J41" s="20" t="str">
        <f t="shared" si="5"/>
        <v>09/10/20 15:15</v>
      </c>
      <c r="K41" s="15"/>
      <c r="L41" s="7">
        <f t="shared" si="1"/>
        <v>-31510</v>
      </c>
      <c r="M41" s="8">
        <f t="shared" si="10"/>
        <v>44120.635416666664</v>
      </c>
      <c r="N41" s="8">
        <f t="shared" si="9"/>
        <v>44127.635416666664</v>
      </c>
      <c r="O41" s="9"/>
      <c r="P41" s="61">
        <v>72476</v>
      </c>
      <c r="Q41" s="71"/>
      <c r="R41" s="68"/>
      <c r="S41" s="64">
        <f t="shared" si="6"/>
        <v>43.199999999895226</v>
      </c>
      <c r="T41" s="64">
        <f t="shared" si="7"/>
        <v>43.199999999895226</v>
      </c>
      <c r="U41" s="65">
        <v>4006</v>
      </c>
      <c r="V41" s="66"/>
      <c r="W41" s="96" t="s">
        <v>69</v>
      </c>
    </row>
    <row r="42" spans="1:23" ht="21" customHeight="1">
      <c r="A42" s="22">
        <v>44111.89166666667</v>
      </c>
      <c r="B42" s="22" t="s">
        <v>36</v>
      </c>
      <c r="C42" s="22" t="s">
        <v>37</v>
      </c>
      <c r="D42" s="25">
        <v>209.4</v>
      </c>
      <c r="E42" s="4"/>
      <c r="F42" s="12">
        <f t="shared" si="8"/>
        <v>0</v>
      </c>
      <c r="G42" s="18">
        <v>44113.652083333334</v>
      </c>
      <c r="H42" s="15" t="str">
        <f t="shared" si="4"/>
        <v>15:39</v>
      </c>
      <c r="I42" s="15">
        <v>44113</v>
      </c>
      <c r="J42" s="20" t="str">
        <f t="shared" si="5"/>
        <v>09/10/20 15:39</v>
      </c>
      <c r="K42" s="15"/>
      <c r="L42" s="7">
        <f t="shared" si="1"/>
        <v>-31510</v>
      </c>
      <c r="M42" s="8">
        <f t="shared" si="10"/>
        <v>44120.652083333334</v>
      </c>
      <c r="N42" s="8">
        <f t="shared" si="9"/>
        <v>44127.652083333334</v>
      </c>
      <c r="O42" s="9"/>
      <c r="P42" s="61">
        <v>72477</v>
      </c>
      <c r="Q42" s="71"/>
      <c r="R42" s="68"/>
      <c r="S42" s="64">
        <f t="shared" si="6"/>
        <v>42.249999999941792</v>
      </c>
      <c r="T42" s="64">
        <f t="shared" si="7"/>
        <v>42.249999999941792</v>
      </c>
      <c r="U42" s="65">
        <v>2512.8000000000002</v>
      </c>
      <c r="V42" s="66"/>
      <c r="W42" s="96" t="s">
        <v>69</v>
      </c>
    </row>
    <row r="43" spans="1:23" ht="21" customHeight="1">
      <c r="A43" s="22">
        <v>44111.89166666667</v>
      </c>
      <c r="B43" s="22" t="s">
        <v>36</v>
      </c>
      <c r="C43" s="22" t="s">
        <v>37</v>
      </c>
      <c r="D43" s="25">
        <v>122.4</v>
      </c>
      <c r="E43" s="4"/>
      <c r="F43" s="12">
        <f t="shared" si="8"/>
        <v>0</v>
      </c>
      <c r="G43" s="18">
        <v>44113.652083333334</v>
      </c>
      <c r="H43" s="15" t="str">
        <f t="shared" si="4"/>
        <v>15:39</v>
      </c>
      <c r="I43" s="15">
        <v>44113</v>
      </c>
      <c r="J43" s="20" t="str">
        <f t="shared" si="5"/>
        <v>09/10/20 15:39</v>
      </c>
      <c r="K43" s="15"/>
      <c r="L43" s="7">
        <f t="shared" si="1"/>
        <v>-31510</v>
      </c>
      <c r="M43" s="8">
        <f t="shared" si="10"/>
        <v>44120.652083333334</v>
      </c>
      <c r="N43" s="8">
        <f t="shared" si="9"/>
        <v>44127.652083333334</v>
      </c>
      <c r="O43" s="9"/>
      <c r="P43" s="61">
        <v>72478</v>
      </c>
      <c r="Q43" s="71"/>
      <c r="R43" s="68"/>
      <c r="S43" s="64">
        <f t="shared" si="6"/>
        <v>42.249999999941792</v>
      </c>
      <c r="T43" s="64">
        <f t="shared" si="7"/>
        <v>42.249999999941792</v>
      </c>
      <c r="U43" s="65">
        <v>1468.8</v>
      </c>
      <c r="V43" s="66"/>
      <c r="W43" s="96" t="s">
        <v>69</v>
      </c>
    </row>
    <row r="44" spans="1:23" ht="21" customHeight="1">
      <c r="A44" s="22">
        <v>44111.89166666667</v>
      </c>
      <c r="B44" s="22" t="s">
        <v>36</v>
      </c>
      <c r="C44" s="22" t="s">
        <v>37</v>
      </c>
      <c r="D44" s="25">
        <v>93.3</v>
      </c>
      <c r="E44" s="4"/>
      <c r="F44" s="12">
        <f t="shared" si="8"/>
        <v>0</v>
      </c>
      <c r="G44" s="18">
        <v>44113.652083333334</v>
      </c>
      <c r="H44" s="15" t="str">
        <f t="shared" si="4"/>
        <v>15:39</v>
      </c>
      <c r="I44" s="15">
        <v>44113</v>
      </c>
      <c r="J44" s="20" t="str">
        <f t="shared" si="5"/>
        <v>09/10/20 15:39</v>
      </c>
      <c r="K44" s="15"/>
      <c r="L44" s="7">
        <f t="shared" si="1"/>
        <v>-31510</v>
      </c>
      <c r="M44" s="8">
        <f t="shared" si="10"/>
        <v>44120.652083333334</v>
      </c>
      <c r="N44" s="8">
        <f t="shared" si="9"/>
        <v>44127.652083333334</v>
      </c>
      <c r="O44" s="9"/>
      <c r="P44" s="61">
        <v>72479</v>
      </c>
      <c r="Q44" s="71"/>
      <c r="R44" s="68"/>
      <c r="S44" s="64">
        <f t="shared" si="6"/>
        <v>42.249999999941792</v>
      </c>
      <c r="T44" s="64">
        <f t="shared" si="7"/>
        <v>42.249999999941792</v>
      </c>
      <c r="U44" s="65">
        <v>1119.5999999999999</v>
      </c>
      <c r="V44" s="66"/>
      <c r="W44" s="96" t="s">
        <v>69</v>
      </c>
    </row>
    <row r="45" spans="1:23" ht="21" customHeight="1">
      <c r="A45" s="22">
        <v>44116.561111111114</v>
      </c>
      <c r="B45" s="22" t="s">
        <v>38</v>
      </c>
      <c r="C45" s="22" t="s">
        <v>19</v>
      </c>
      <c r="D45" s="25">
        <v>281.60000000000002</v>
      </c>
      <c r="E45" s="4"/>
      <c r="F45" s="12">
        <f t="shared" si="8"/>
        <v>0</v>
      </c>
      <c r="G45" s="18">
        <v>44117.59652777778</v>
      </c>
      <c r="H45" s="15" t="str">
        <f t="shared" si="4"/>
        <v>14:19</v>
      </c>
      <c r="I45" s="15">
        <v>44117</v>
      </c>
      <c r="J45" s="20" t="str">
        <f t="shared" si="5"/>
        <v>13/10/20 14:19</v>
      </c>
      <c r="K45" s="15"/>
      <c r="L45" s="7">
        <f t="shared" si="1"/>
        <v>-31512</v>
      </c>
      <c r="M45" s="8">
        <v>44117.59652777778</v>
      </c>
      <c r="N45" s="8">
        <f t="shared" si="9"/>
        <v>44124.59652777778</v>
      </c>
      <c r="O45" s="9"/>
      <c r="P45" s="61">
        <v>72511</v>
      </c>
      <c r="Q45" s="71"/>
      <c r="R45" s="68"/>
      <c r="S45" s="64">
        <f t="shared" si="6"/>
        <v>24.849999999976717</v>
      </c>
      <c r="T45" s="64">
        <f t="shared" si="7"/>
        <v>24.849999999976717</v>
      </c>
      <c r="U45" s="65">
        <v>8448</v>
      </c>
      <c r="V45" s="66"/>
      <c r="W45" s="96" t="s">
        <v>69</v>
      </c>
    </row>
    <row r="46" spans="1:23" ht="21" customHeight="1">
      <c r="A46" s="22">
        <v>44112.506944444445</v>
      </c>
      <c r="B46" s="22" t="s">
        <v>22</v>
      </c>
      <c r="C46" s="22" t="s">
        <v>23</v>
      </c>
      <c r="D46" s="25">
        <v>275</v>
      </c>
      <c r="E46" s="4"/>
      <c r="F46" s="12">
        <f t="shared" si="8"/>
        <v>0</v>
      </c>
      <c r="G46" s="18">
        <v>44116.568055555559</v>
      </c>
      <c r="H46" s="15" t="str">
        <f t="shared" si="4"/>
        <v>13:38</v>
      </c>
      <c r="I46" s="15">
        <v>44114</v>
      </c>
      <c r="J46" s="20" t="str">
        <f t="shared" si="5"/>
        <v>10/10/20 13:38</v>
      </c>
      <c r="K46" s="15"/>
      <c r="L46" s="7">
        <f t="shared" si="1"/>
        <v>-31511</v>
      </c>
      <c r="M46" s="8">
        <v>44116.568055555559</v>
      </c>
      <c r="N46" s="8">
        <f t="shared" si="9"/>
        <v>44123.568055555559</v>
      </c>
      <c r="O46" s="9"/>
      <c r="P46" s="61">
        <v>72512</v>
      </c>
      <c r="Q46" s="71" t="s">
        <v>81</v>
      </c>
      <c r="R46" s="68">
        <v>44117.607638888891</v>
      </c>
      <c r="S46" s="64">
        <f t="shared" si="6"/>
        <v>97.466666666732635</v>
      </c>
      <c r="T46" s="64">
        <f t="shared" si="7"/>
        <v>49.466666666732635</v>
      </c>
      <c r="U46" s="65">
        <v>825</v>
      </c>
      <c r="V46" s="66"/>
      <c r="W46" s="96" t="s">
        <v>69</v>
      </c>
    </row>
    <row r="47" spans="1:23" ht="21" customHeight="1">
      <c r="A47" s="22">
        <v>44113.474999999999</v>
      </c>
      <c r="B47" s="22" t="s">
        <v>38</v>
      </c>
      <c r="C47" s="22" t="s">
        <v>19</v>
      </c>
      <c r="D47" s="25">
        <v>193</v>
      </c>
      <c r="E47" s="4"/>
      <c r="F47" s="12">
        <f t="shared" si="8"/>
        <v>0</v>
      </c>
      <c r="G47" s="18">
        <v>44116.631944444445</v>
      </c>
      <c r="H47" s="15" t="str">
        <f t="shared" si="4"/>
        <v>15:10</v>
      </c>
      <c r="I47" s="15">
        <v>44114</v>
      </c>
      <c r="J47" s="20" t="str">
        <f t="shared" si="5"/>
        <v>10/10/20 15:10</v>
      </c>
      <c r="K47" s="15"/>
      <c r="L47" s="7">
        <f t="shared" si="1"/>
        <v>-31511</v>
      </c>
      <c r="M47" s="8">
        <v>44116.631944444445</v>
      </c>
      <c r="N47" s="8">
        <f t="shared" si="9"/>
        <v>44123.631944444445</v>
      </c>
      <c r="O47" s="9"/>
      <c r="P47" s="61">
        <v>72513</v>
      </c>
      <c r="Q47" s="71"/>
      <c r="R47" s="68"/>
      <c r="S47" s="64">
        <f t="shared" si="6"/>
        <v>75.766666666720994</v>
      </c>
      <c r="T47" s="64">
        <f t="shared" si="7"/>
        <v>27.766666666720994</v>
      </c>
      <c r="U47" s="65">
        <v>1930</v>
      </c>
      <c r="V47" s="66"/>
      <c r="W47" s="96" t="s">
        <v>69</v>
      </c>
    </row>
    <row r="48" spans="1:23" ht="21" customHeight="1">
      <c r="A48" s="22">
        <v>44113.458333333336</v>
      </c>
      <c r="B48" s="22" t="s">
        <v>22</v>
      </c>
      <c r="C48" s="22" t="s">
        <v>23</v>
      </c>
      <c r="D48" s="25">
        <v>50.2</v>
      </c>
      <c r="E48" s="4"/>
      <c r="F48" s="12">
        <f t="shared" si="8"/>
        <v>0</v>
      </c>
      <c r="G48" s="18">
        <v>44116.673611111109</v>
      </c>
      <c r="H48" s="15" t="str">
        <f t="shared" si="4"/>
        <v>16:10</v>
      </c>
      <c r="I48" s="15">
        <v>44114</v>
      </c>
      <c r="J48" s="20" t="str">
        <f t="shared" si="5"/>
        <v>10/10/20 16:10</v>
      </c>
      <c r="K48" s="15"/>
      <c r="L48" s="7">
        <f t="shared" ref="L48:L61" si="11">(NETWORKDAYS(K48,G48))*-1</f>
        <v>-31511</v>
      </c>
      <c r="M48" s="8">
        <v>44116.673611111109</v>
      </c>
      <c r="N48" s="8">
        <f t="shared" si="9"/>
        <v>44123.673611111109</v>
      </c>
      <c r="O48" s="9"/>
      <c r="P48" s="61">
        <v>72514</v>
      </c>
      <c r="Q48" s="71" t="s">
        <v>78</v>
      </c>
      <c r="R48" s="68">
        <v>44118.698611111111</v>
      </c>
      <c r="S48" s="64">
        <f t="shared" si="6"/>
        <v>77.166666666569654</v>
      </c>
      <c r="T48" s="64">
        <f t="shared" si="7"/>
        <v>29.166666666569654</v>
      </c>
      <c r="U48" s="65">
        <v>2088</v>
      </c>
      <c r="V48" s="66"/>
      <c r="W48" s="96" t="s">
        <v>69</v>
      </c>
    </row>
    <row r="49" spans="1:23" ht="21" customHeight="1">
      <c r="A49" s="22">
        <v>44111.67291666667</v>
      </c>
      <c r="B49" s="22" t="s">
        <v>36</v>
      </c>
      <c r="C49" s="22" t="s">
        <v>37</v>
      </c>
      <c r="D49" s="25">
        <v>711.6</v>
      </c>
      <c r="E49" s="4"/>
      <c r="F49" s="12">
        <f t="shared" si="8"/>
        <v>0</v>
      </c>
      <c r="G49" s="18">
        <v>44112.647916666669</v>
      </c>
      <c r="H49" s="15" t="str">
        <f t="shared" si="4"/>
        <v>15:33</v>
      </c>
      <c r="I49" s="15">
        <v>44112</v>
      </c>
      <c r="J49" s="20" t="str">
        <f t="shared" si="5"/>
        <v>08/10/20 15:33</v>
      </c>
      <c r="K49" s="15"/>
      <c r="L49" s="7">
        <f t="shared" si="11"/>
        <v>-31509</v>
      </c>
      <c r="M49" s="8">
        <f t="shared" si="10"/>
        <v>44119.647916666669</v>
      </c>
      <c r="N49" s="8">
        <f t="shared" si="9"/>
        <v>44126.647916666669</v>
      </c>
      <c r="O49" s="9"/>
      <c r="P49" s="61">
        <v>72515</v>
      </c>
      <c r="Q49" s="71"/>
      <c r="R49" s="68"/>
      <c r="S49" s="64">
        <f t="shared" si="6"/>
        <v>23.399999999965075</v>
      </c>
      <c r="T49" s="64">
        <f t="shared" si="7"/>
        <v>23.399999999965075</v>
      </c>
      <c r="U49" s="65">
        <v>711.6</v>
      </c>
      <c r="V49" s="66"/>
      <c r="W49" s="96" t="s">
        <v>69</v>
      </c>
    </row>
    <row r="50" spans="1:23" ht="21" customHeight="1">
      <c r="A50" s="22">
        <v>44112.788194444445</v>
      </c>
      <c r="B50" s="22" t="s">
        <v>46</v>
      </c>
      <c r="C50" s="22" t="s">
        <v>25</v>
      </c>
      <c r="D50" s="25">
        <v>516.5</v>
      </c>
      <c r="E50" s="4"/>
      <c r="F50" s="12">
        <f t="shared" si="8"/>
        <v>0</v>
      </c>
      <c r="G50" s="18">
        <v>44117.558333333334</v>
      </c>
      <c r="H50" s="15" t="str">
        <f t="shared" si="4"/>
        <v>13:24</v>
      </c>
      <c r="I50" s="15">
        <v>44115</v>
      </c>
      <c r="J50" s="20" t="str">
        <f t="shared" si="5"/>
        <v>11/10/20 13:24</v>
      </c>
      <c r="K50" s="15"/>
      <c r="L50" s="7">
        <f t="shared" si="11"/>
        <v>-31512</v>
      </c>
      <c r="M50" s="8">
        <f t="shared" si="10"/>
        <v>44124.558333333334</v>
      </c>
      <c r="N50" s="8">
        <f t="shared" si="9"/>
        <v>44131.558333333334</v>
      </c>
      <c r="O50" s="9"/>
      <c r="P50" s="61">
        <v>72523</v>
      </c>
      <c r="Q50" s="71"/>
      <c r="R50" s="68"/>
      <c r="S50" s="64">
        <f t="shared" si="6"/>
        <v>114.48333333333721</v>
      </c>
      <c r="T50" s="64">
        <f t="shared" si="7"/>
        <v>66.483333333337214</v>
      </c>
      <c r="U50" s="65">
        <v>1549.5</v>
      </c>
      <c r="V50" s="66"/>
      <c r="W50" s="96" t="s">
        <v>69</v>
      </c>
    </row>
    <row r="51" spans="1:23" ht="21" customHeight="1">
      <c r="A51" s="22">
        <v>44112.788194444445</v>
      </c>
      <c r="B51" s="22" t="s">
        <v>46</v>
      </c>
      <c r="C51" s="22" t="s">
        <v>25</v>
      </c>
      <c r="D51" s="25">
        <v>474</v>
      </c>
      <c r="E51" s="4"/>
      <c r="F51" s="12">
        <f t="shared" si="8"/>
        <v>0</v>
      </c>
      <c r="G51" s="18">
        <v>44117.558333333334</v>
      </c>
      <c r="H51" s="15" t="str">
        <f t="shared" si="4"/>
        <v>13:24</v>
      </c>
      <c r="I51" s="15">
        <v>44115</v>
      </c>
      <c r="J51" s="20" t="str">
        <f t="shared" si="5"/>
        <v>11/10/20 13:24</v>
      </c>
      <c r="K51" s="15"/>
      <c r="L51" s="7">
        <f t="shared" si="11"/>
        <v>-31512</v>
      </c>
      <c r="M51" s="8">
        <f t="shared" si="10"/>
        <v>44124.558333333334</v>
      </c>
      <c r="N51" s="8">
        <f t="shared" si="9"/>
        <v>44131.558333333334</v>
      </c>
      <c r="O51" s="9"/>
      <c r="P51" s="61">
        <v>72526</v>
      </c>
      <c r="Q51" s="71"/>
      <c r="R51" s="68"/>
      <c r="S51" s="64">
        <f t="shared" si="6"/>
        <v>114.48333333333721</v>
      </c>
      <c r="T51" s="64">
        <f t="shared" si="7"/>
        <v>66.483333333337214</v>
      </c>
      <c r="U51" s="65">
        <v>1422</v>
      </c>
      <c r="V51" s="66"/>
      <c r="W51" s="96" t="s">
        <v>69</v>
      </c>
    </row>
    <row r="52" spans="1:23" ht="21" customHeight="1">
      <c r="A52" s="22">
        <v>44112.788194444445</v>
      </c>
      <c r="B52" s="22" t="s">
        <v>46</v>
      </c>
      <c r="C52" s="22" t="s">
        <v>25</v>
      </c>
      <c r="D52" s="25">
        <v>698</v>
      </c>
      <c r="E52" s="4"/>
      <c r="F52" s="12">
        <f t="shared" si="8"/>
        <v>0</v>
      </c>
      <c r="G52" s="18">
        <v>44117.558333333334</v>
      </c>
      <c r="H52" s="15" t="str">
        <f t="shared" si="4"/>
        <v>13:24</v>
      </c>
      <c r="I52" s="15">
        <v>44115</v>
      </c>
      <c r="J52" s="20" t="str">
        <f t="shared" si="5"/>
        <v>11/10/20 13:24</v>
      </c>
      <c r="K52" s="15"/>
      <c r="L52" s="7">
        <f t="shared" si="11"/>
        <v>-31512</v>
      </c>
      <c r="M52" s="8">
        <f t="shared" si="10"/>
        <v>44124.558333333334</v>
      </c>
      <c r="N52" s="8">
        <f t="shared" si="9"/>
        <v>44131.558333333334</v>
      </c>
      <c r="O52" s="9"/>
      <c r="P52" s="61">
        <v>72527</v>
      </c>
      <c r="Q52" s="71"/>
      <c r="R52" s="68"/>
      <c r="S52" s="64">
        <f t="shared" si="6"/>
        <v>114.48333333333721</v>
      </c>
      <c r="T52" s="64">
        <f t="shared" si="7"/>
        <v>66.483333333337214</v>
      </c>
      <c r="U52" s="65">
        <v>2094</v>
      </c>
      <c r="V52" s="66"/>
      <c r="W52" s="96" t="s">
        <v>69</v>
      </c>
    </row>
    <row r="53" spans="1:23" ht="21" customHeight="1">
      <c r="A53" s="22">
        <v>44112.788194444445</v>
      </c>
      <c r="B53" s="22" t="s">
        <v>46</v>
      </c>
      <c r="C53" s="22" t="s">
        <v>25</v>
      </c>
      <c r="D53" s="25">
        <v>1700</v>
      </c>
      <c r="E53" s="4"/>
      <c r="F53" s="12">
        <f t="shared" si="8"/>
        <v>0</v>
      </c>
      <c r="G53" s="18">
        <v>44117.558333333334</v>
      </c>
      <c r="H53" s="15" t="str">
        <f t="shared" si="4"/>
        <v>13:24</v>
      </c>
      <c r="I53" s="15">
        <v>44115</v>
      </c>
      <c r="J53" s="20" t="str">
        <f t="shared" si="5"/>
        <v>11/10/20 13:24</v>
      </c>
      <c r="K53" s="15"/>
      <c r="L53" s="7">
        <f t="shared" si="11"/>
        <v>-31512</v>
      </c>
      <c r="M53" s="8">
        <f t="shared" si="10"/>
        <v>44124.558333333334</v>
      </c>
      <c r="N53" s="8">
        <f t="shared" si="9"/>
        <v>44131.558333333334</v>
      </c>
      <c r="O53" s="9"/>
      <c r="P53" s="61">
        <v>72529</v>
      </c>
      <c r="Q53" s="71"/>
      <c r="R53" s="68"/>
      <c r="S53" s="64">
        <f t="shared" si="6"/>
        <v>114.48333333333721</v>
      </c>
      <c r="T53" s="64">
        <f t="shared" si="7"/>
        <v>66.483333333337214</v>
      </c>
      <c r="U53" s="65">
        <v>5100</v>
      </c>
      <c r="V53" s="66"/>
      <c r="W53" s="96" t="s">
        <v>69</v>
      </c>
    </row>
    <row r="54" spans="1:23" ht="21" customHeight="1">
      <c r="A54" s="22">
        <v>44112.788194444445</v>
      </c>
      <c r="B54" s="22" t="s">
        <v>46</v>
      </c>
      <c r="C54" s="22" t="s">
        <v>25</v>
      </c>
      <c r="D54" s="25">
        <v>358.1</v>
      </c>
      <c r="E54" s="4"/>
      <c r="F54" s="12">
        <f t="shared" si="8"/>
        <v>0</v>
      </c>
      <c r="G54" s="18">
        <v>44117.558333333334</v>
      </c>
      <c r="H54" s="15" t="str">
        <f t="shared" si="4"/>
        <v>13:24</v>
      </c>
      <c r="I54" s="15">
        <v>44115</v>
      </c>
      <c r="J54" s="20" t="str">
        <f t="shared" si="5"/>
        <v>11/10/20 13:24</v>
      </c>
      <c r="K54" s="15"/>
      <c r="L54" s="7">
        <f t="shared" si="11"/>
        <v>-31512</v>
      </c>
      <c r="M54" s="8">
        <f t="shared" si="10"/>
        <v>44124.558333333334</v>
      </c>
      <c r="N54" s="8">
        <f t="shared" si="9"/>
        <v>44131.558333333334</v>
      </c>
      <c r="O54" s="9"/>
      <c r="P54" s="61">
        <v>72533</v>
      </c>
      <c r="Q54" s="71"/>
      <c r="R54" s="68"/>
      <c r="S54" s="64">
        <f t="shared" si="6"/>
        <v>114.48333333333721</v>
      </c>
      <c r="T54" s="64">
        <f t="shared" si="7"/>
        <v>66.483333333337214</v>
      </c>
      <c r="U54" s="65">
        <v>1074</v>
      </c>
      <c r="V54" s="66"/>
      <c r="W54" s="96" t="s">
        <v>69</v>
      </c>
    </row>
    <row r="55" spans="1:23" ht="21" customHeight="1">
      <c r="A55" s="22">
        <v>44117.475694444445</v>
      </c>
      <c r="B55" s="22" t="s">
        <v>22</v>
      </c>
      <c r="C55" s="22" t="s">
        <v>23</v>
      </c>
      <c r="D55" s="25">
        <v>485.7</v>
      </c>
      <c r="E55" s="4"/>
      <c r="F55" s="12">
        <f t="shared" si="8"/>
        <v>0</v>
      </c>
      <c r="G55" s="18">
        <v>44117.629861111112</v>
      </c>
      <c r="H55" s="15" t="str">
        <f t="shared" si="4"/>
        <v>15:07</v>
      </c>
      <c r="I55" s="15">
        <v>44117</v>
      </c>
      <c r="J55" s="20" t="str">
        <f t="shared" si="5"/>
        <v>13/10/20 15:07</v>
      </c>
      <c r="K55" s="15"/>
      <c r="L55" s="7">
        <f t="shared" si="11"/>
        <v>-31512</v>
      </c>
      <c r="M55" s="8">
        <v>44117.629861111112</v>
      </c>
      <c r="N55" s="8">
        <f t="shared" si="9"/>
        <v>44124.629861111112</v>
      </c>
      <c r="O55" s="9"/>
      <c r="P55" s="61">
        <v>72543</v>
      </c>
      <c r="Q55" s="71"/>
      <c r="R55" s="68"/>
      <c r="S55" s="64">
        <f t="shared" si="6"/>
        <v>3.7000000000116415</v>
      </c>
      <c r="T55" s="64">
        <f t="shared" si="7"/>
        <v>3.7000000000116415</v>
      </c>
      <c r="U55" s="65">
        <v>1457.1</v>
      </c>
      <c r="V55" s="66"/>
      <c r="W55" s="96" t="s">
        <v>69</v>
      </c>
    </row>
    <row r="56" spans="1:23" ht="21" customHeight="1">
      <c r="A56" s="22">
        <v>44118.442361111112</v>
      </c>
      <c r="B56" s="22" t="s">
        <v>47</v>
      </c>
      <c r="C56" s="22" t="s">
        <v>48</v>
      </c>
      <c r="D56" s="25">
        <v>402.3</v>
      </c>
      <c r="E56" s="4"/>
      <c r="F56" s="12">
        <f t="shared" si="8"/>
        <v>0</v>
      </c>
      <c r="G56" s="18">
        <v>44118.472222222219</v>
      </c>
      <c r="H56" s="15" t="str">
        <f t="shared" si="4"/>
        <v>11:20</v>
      </c>
      <c r="I56" s="15">
        <v>44118</v>
      </c>
      <c r="J56" s="20" t="str">
        <f t="shared" si="5"/>
        <v>14/10/20 11:20</v>
      </c>
      <c r="K56" s="15"/>
      <c r="L56" s="7">
        <f t="shared" si="11"/>
        <v>-31513</v>
      </c>
      <c r="M56" s="8">
        <v>44118.472222222219</v>
      </c>
      <c r="N56" s="8">
        <f t="shared" si="9"/>
        <v>44125.472222222219</v>
      </c>
      <c r="O56" s="9"/>
      <c r="P56" s="61">
        <v>72573</v>
      </c>
      <c r="Q56" s="71"/>
      <c r="R56" s="68"/>
      <c r="S56" s="64">
        <f t="shared" si="6"/>
        <v>0.71666666655801237</v>
      </c>
      <c r="T56" s="64">
        <f t="shared" si="7"/>
        <v>0.71666666655801237</v>
      </c>
      <c r="U56" s="65">
        <v>1206.9000000000001</v>
      </c>
      <c r="V56" s="66"/>
      <c r="W56" s="96" t="s">
        <v>69</v>
      </c>
    </row>
    <row r="57" spans="1:23" ht="21" customHeight="1">
      <c r="A57" s="22">
        <v>44117.82916666667</v>
      </c>
      <c r="B57" s="23" t="s">
        <v>36</v>
      </c>
      <c r="C57" s="24" t="s">
        <v>37</v>
      </c>
      <c r="D57" s="25">
        <v>325.10000000000002</v>
      </c>
      <c r="E57" s="11"/>
      <c r="F57" s="12">
        <f t="shared" si="8"/>
        <v>0</v>
      </c>
      <c r="G57" s="18">
        <v>44118.504166666666</v>
      </c>
      <c r="H57" s="15" t="str">
        <f t="shared" si="4"/>
        <v>12:06</v>
      </c>
      <c r="I57" s="15">
        <v>44118</v>
      </c>
      <c r="J57" s="20" t="str">
        <f t="shared" si="5"/>
        <v>14/10/20 12:06</v>
      </c>
      <c r="K57" s="15"/>
      <c r="L57" s="7">
        <f t="shared" si="11"/>
        <v>-31513</v>
      </c>
      <c r="M57" s="8">
        <f t="shared" si="10"/>
        <v>44125.504166666666</v>
      </c>
      <c r="N57" s="8">
        <f t="shared" si="9"/>
        <v>44132.504166666666</v>
      </c>
      <c r="O57" s="9"/>
      <c r="P57" s="61">
        <v>72581</v>
      </c>
      <c r="Q57" s="71" t="s">
        <v>84</v>
      </c>
      <c r="R57" s="68">
        <v>44120.425694444442</v>
      </c>
      <c r="S57" s="64">
        <f t="shared" si="6"/>
        <v>16.199999999895226</v>
      </c>
      <c r="T57" s="64">
        <f t="shared" si="7"/>
        <v>16.199999999895226</v>
      </c>
      <c r="U57" s="65">
        <v>975.3</v>
      </c>
      <c r="V57" s="66"/>
      <c r="W57" s="96" t="s">
        <v>69</v>
      </c>
    </row>
    <row r="58" spans="1:23" ht="21" customHeight="1">
      <c r="A58" s="22">
        <v>44117.669444444444</v>
      </c>
      <c r="B58" s="23" t="s">
        <v>22</v>
      </c>
      <c r="C58" s="24" t="s">
        <v>23</v>
      </c>
      <c r="D58" s="25">
        <v>278</v>
      </c>
      <c r="E58" s="11"/>
      <c r="F58" s="12">
        <f t="shared" si="8"/>
        <v>0</v>
      </c>
      <c r="G58" s="18">
        <v>44119.380555555559</v>
      </c>
      <c r="H58" s="15" t="str">
        <f t="shared" si="4"/>
        <v>09:08</v>
      </c>
      <c r="I58" s="15">
        <v>44119</v>
      </c>
      <c r="J58" s="20" t="str">
        <f t="shared" si="5"/>
        <v>15/10/20 09:08</v>
      </c>
      <c r="K58" s="15"/>
      <c r="L58" s="7">
        <f t="shared" si="11"/>
        <v>-31514</v>
      </c>
      <c r="M58" s="8">
        <f t="shared" si="10"/>
        <v>44126.380555555559</v>
      </c>
      <c r="N58" s="8">
        <f t="shared" si="9"/>
        <v>44133.380555555559</v>
      </c>
      <c r="O58" s="9"/>
      <c r="P58" s="61">
        <v>72594</v>
      </c>
      <c r="Q58" s="71"/>
      <c r="R58" s="68"/>
      <c r="S58" s="64">
        <f t="shared" si="6"/>
        <v>41.06666666676756</v>
      </c>
      <c r="T58" s="64">
        <f t="shared" si="7"/>
        <v>41.06666666676756</v>
      </c>
      <c r="U58" s="65">
        <v>13900</v>
      </c>
      <c r="V58" s="66"/>
      <c r="W58" s="96" t="s">
        <v>69</v>
      </c>
    </row>
    <row r="59" spans="1:23" ht="21" customHeight="1">
      <c r="A59" s="22">
        <v>44118.394444444442</v>
      </c>
      <c r="B59" s="23" t="s">
        <v>22</v>
      </c>
      <c r="C59" s="24" t="s">
        <v>23</v>
      </c>
      <c r="D59" s="25">
        <v>173.3</v>
      </c>
      <c r="E59" s="11"/>
      <c r="F59" s="12">
        <f t="shared" si="8"/>
        <v>0</v>
      </c>
      <c r="G59" s="18">
        <v>44118.679861111108</v>
      </c>
      <c r="H59" s="15" t="str">
        <f t="shared" si="4"/>
        <v>16:19</v>
      </c>
      <c r="I59" s="15">
        <v>44118</v>
      </c>
      <c r="J59" s="20" t="str">
        <f t="shared" si="5"/>
        <v>14/10/20 16:19</v>
      </c>
      <c r="K59" s="15"/>
      <c r="L59" s="7">
        <f t="shared" si="11"/>
        <v>-31513</v>
      </c>
      <c r="M59" s="8">
        <v>44118.679861111108</v>
      </c>
      <c r="N59" s="8">
        <f t="shared" si="9"/>
        <v>44125.679861111108</v>
      </c>
      <c r="O59" s="9"/>
      <c r="P59" s="61">
        <v>72596</v>
      </c>
      <c r="Q59" s="71" t="s">
        <v>76</v>
      </c>
      <c r="R59" s="68">
        <v>44118.693055555559</v>
      </c>
      <c r="S59" s="64">
        <f t="shared" si="6"/>
        <v>6.8499999999767169</v>
      </c>
      <c r="T59" s="64">
        <f t="shared" si="7"/>
        <v>6.8499999999767169</v>
      </c>
      <c r="U59" s="65">
        <v>866.5</v>
      </c>
      <c r="V59" s="66"/>
      <c r="W59" s="96" t="s">
        <v>69</v>
      </c>
    </row>
    <row r="60" spans="1:23" ht="21" customHeight="1">
      <c r="A60" s="22">
        <v>44118.820833333331</v>
      </c>
      <c r="B60" s="23" t="s">
        <v>34</v>
      </c>
      <c r="C60" s="24" t="s">
        <v>49</v>
      </c>
      <c r="D60" s="25">
        <v>200.6</v>
      </c>
      <c r="E60" s="11"/>
      <c r="F60" s="12">
        <f t="shared" si="8"/>
        <v>0</v>
      </c>
      <c r="G60" s="18">
        <v>44120.470138888886</v>
      </c>
      <c r="H60" s="15" t="str">
        <f t="shared" si="4"/>
        <v>11:17</v>
      </c>
      <c r="I60" s="15">
        <v>44120</v>
      </c>
      <c r="J60" s="20" t="str">
        <f t="shared" si="5"/>
        <v>16/10/20 11:17</v>
      </c>
      <c r="K60" s="15"/>
      <c r="L60" s="7">
        <f t="shared" si="11"/>
        <v>-31515</v>
      </c>
      <c r="M60" s="8">
        <f t="shared" si="10"/>
        <v>44127.470138888886</v>
      </c>
      <c r="N60" s="8">
        <f t="shared" si="9"/>
        <v>44134.470138888886</v>
      </c>
      <c r="O60" s="9"/>
      <c r="P60" s="61">
        <v>72616</v>
      </c>
      <c r="Q60" s="71"/>
      <c r="R60" s="68"/>
      <c r="S60" s="64">
        <f t="shared" si="6"/>
        <v>39.583333333313931</v>
      </c>
      <c r="T60" s="64">
        <f t="shared" si="7"/>
        <v>39.583333333313931</v>
      </c>
      <c r="U60" s="65">
        <v>2006</v>
      </c>
      <c r="V60" s="66"/>
      <c r="W60" s="96" t="s">
        <v>69</v>
      </c>
    </row>
    <row r="61" spans="1:23" ht="21" customHeight="1">
      <c r="A61" s="22">
        <v>44117.697222222225</v>
      </c>
      <c r="B61" s="23" t="s">
        <v>38</v>
      </c>
      <c r="C61" s="24" t="s">
        <v>19</v>
      </c>
      <c r="D61" s="25">
        <v>120.9</v>
      </c>
      <c r="E61" s="11"/>
      <c r="F61" s="12">
        <f t="shared" si="8"/>
        <v>0</v>
      </c>
      <c r="G61" s="18">
        <v>44119.564583333333</v>
      </c>
      <c r="H61" s="15" t="str">
        <f t="shared" si="4"/>
        <v>13:33</v>
      </c>
      <c r="I61" s="15">
        <v>44119</v>
      </c>
      <c r="J61" s="20" t="str">
        <f t="shared" si="5"/>
        <v>15/10/20 13:33</v>
      </c>
      <c r="K61" s="15"/>
      <c r="L61" s="7">
        <f t="shared" si="11"/>
        <v>-31514</v>
      </c>
      <c r="M61" s="8">
        <f t="shared" si="10"/>
        <v>44126.564583333333</v>
      </c>
      <c r="N61" s="8">
        <f t="shared" si="9"/>
        <v>44133.564583333333</v>
      </c>
      <c r="O61" s="9"/>
      <c r="P61" s="61">
        <v>72625</v>
      </c>
      <c r="Q61" s="71"/>
      <c r="R61" s="68"/>
      <c r="S61" s="64">
        <f t="shared" si="6"/>
        <v>44.816666666592937</v>
      </c>
      <c r="T61" s="64">
        <f t="shared" si="7"/>
        <v>44.816666666592937</v>
      </c>
      <c r="U61" s="65">
        <v>4352.3999999999996</v>
      </c>
      <c r="V61" s="66"/>
      <c r="W61" s="96" t="s">
        <v>69</v>
      </c>
    </row>
    <row r="62" spans="1:23" ht="21" customHeight="1">
      <c r="A62" s="22">
        <v>44117.459027777775</v>
      </c>
      <c r="B62" s="23" t="s">
        <v>20</v>
      </c>
      <c r="C62" s="24" t="s">
        <v>21</v>
      </c>
      <c r="D62" s="25">
        <v>174.3</v>
      </c>
      <c r="E62" s="11"/>
      <c r="F62" s="12">
        <f t="shared" si="8"/>
        <v>0</v>
      </c>
      <c r="G62" s="18">
        <v>44119.558333333334</v>
      </c>
      <c r="H62" s="15" t="str">
        <f t="shared" si="4"/>
        <v>13:24</v>
      </c>
      <c r="I62" s="15">
        <v>44119</v>
      </c>
      <c r="J62" s="20" t="str">
        <f t="shared" si="5"/>
        <v>15/10/20 13:24</v>
      </c>
      <c r="K62" s="15"/>
      <c r="L62" s="7">
        <f>(NETWORKDAYS(K62,A62))*-1</f>
        <v>-31512</v>
      </c>
      <c r="M62" s="8">
        <v>44119.558333333334</v>
      </c>
      <c r="N62" s="8">
        <f t="shared" si="9"/>
        <v>44126.558333333334</v>
      </c>
      <c r="O62" s="9"/>
      <c r="P62" s="61">
        <v>72629</v>
      </c>
      <c r="Q62" s="71"/>
      <c r="R62" s="68"/>
      <c r="S62" s="64">
        <f t="shared" si="6"/>
        <v>50.383333333418705</v>
      </c>
      <c r="T62" s="64">
        <f t="shared" si="7"/>
        <v>50.383333333418705</v>
      </c>
      <c r="U62" s="65">
        <v>1743</v>
      </c>
      <c r="V62" s="66"/>
      <c r="W62" s="96" t="s">
        <v>69</v>
      </c>
    </row>
    <row r="63" spans="1:23" ht="21" customHeight="1">
      <c r="A63" s="22">
        <v>44119.600694444445</v>
      </c>
      <c r="B63" s="23" t="s">
        <v>32</v>
      </c>
      <c r="C63" s="24" t="s">
        <v>33</v>
      </c>
      <c r="D63" s="25">
        <v>403.1</v>
      </c>
      <c r="E63" s="11"/>
      <c r="F63" s="12">
        <f t="shared" si="8"/>
        <v>0</v>
      </c>
      <c r="G63" s="18">
        <v>44119.618055555555</v>
      </c>
      <c r="H63" s="15" t="str">
        <f t="shared" si="4"/>
        <v>14:50</v>
      </c>
      <c r="I63" s="15">
        <v>44119</v>
      </c>
      <c r="J63" s="20" t="str">
        <f t="shared" si="5"/>
        <v>15/10/20 14:50</v>
      </c>
      <c r="K63" s="15"/>
      <c r="L63" s="7">
        <f t="shared" ref="L63:L94" si="12">(NETWORKDAYS(K63,G63))*-1</f>
        <v>-31514</v>
      </c>
      <c r="M63" s="8">
        <v>44119.618055555555</v>
      </c>
      <c r="N63" s="8">
        <f t="shared" si="9"/>
        <v>44126.618055555555</v>
      </c>
      <c r="O63" s="9"/>
      <c r="P63" s="61">
        <v>72631</v>
      </c>
      <c r="Q63" s="71"/>
      <c r="R63" s="68"/>
      <c r="S63" s="64">
        <f t="shared" si="6"/>
        <v>0.41666666662786156</v>
      </c>
      <c r="T63" s="64">
        <f t="shared" si="7"/>
        <v>0.41666666662786156</v>
      </c>
      <c r="U63" s="65">
        <v>2015.5</v>
      </c>
      <c r="V63" s="66"/>
      <c r="W63" s="96" t="s">
        <v>69</v>
      </c>
    </row>
    <row r="64" spans="1:23" ht="21" customHeight="1">
      <c r="A64" s="22">
        <v>44119.609027777777</v>
      </c>
      <c r="B64" s="23" t="s">
        <v>36</v>
      </c>
      <c r="C64" s="24" t="s">
        <v>37</v>
      </c>
      <c r="D64" s="25">
        <v>81.5</v>
      </c>
      <c r="E64" s="11"/>
      <c r="F64" s="12">
        <f t="shared" si="8"/>
        <v>0</v>
      </c>
      <c r="G64" s="18">
        <v>44119.625</v>
      </c>
      <c r="H64" s="15" t="str">
        <f t="shared" si="4"/>
        <v>15:00</v>
      </c>
      <c r="I64" s="16">
        <v>44119</v>
      </c>
      <c r="J64" s="20" t="str">
        <f t="shared" si="5"/>
        <v>15/10/20 15:00</v>
      </c>
      <c r="K64" s="15"/>
      <c r="L64" s="7">
        <f t="shared" si="12"/>
        <v>-31514</v>
      </c>
      <c r="M64" s="8">
        <v>44119.625</v>
      </c>
      <c r="N64" s="8">
        <f t="shared" si="9"/>
        <v>44126.625</v>
      </c>
      <c r="O64" s="9"/>
      <c r="P64" s="61">
        <v>72633</v>
      </c>
      <c r="Q64" s="71"/>
      <c r="R64" s="68"/>
      <c r="S64" s="64">
        <f t="shared" si="6"/>
        <v>0.38333333336049691</v>
      </c>
      <c r="T64" s="64">
        <f t="shared" si="7"/>
        <v>0.38333333336049691</v>
      </c>
      <c r="U64" s="65">
        <v>978</v>
      </c>
      <c r="V64" s="66"/>
      <c r="W64" s="96" t="s">
        <v>69</v>
      </c>
    </row>
    <row r="65" spans="1:23" ht="21" customHeight="1">
      <c r="A65" s="22">
        <v>44118.89166666667</v>
      </c>
      <c r="B65" s="23" t="s">
        <v>24</v>
      </c>
      <c r="C65" s="24" t="s">
        <v>25</v>
      </c>
      <c r="D65" s="25">
        <v>368.6</v>
      </c>
      <c r="E65" s="11"/>
      <c r="F65" s="12">
        <f t="shared" si="8"/>
        <v>0</v>
      </c>
      <c r="G65" s="18">
        <v>44119.7</v>
      </c>
      <c r="H65" s="15" t="str">
        <f t="shared" si="4"/>
        <v>16:48</v>
      </c>
      <c r="I65" s="15">
        <v>44119</v>
      </c>
      <c r="J65" s="20" t="str">
        <f t="shared" si="5"/>
        <v>15/10/20 16:48</v>
      </c>
      <c r="K65" s="15"/>
      <c r="L65" s="7">
        <f t="shared" si="12"/>
        <v>-31514</v>
      </c>
      <c r="M65" s="8">
        <f t="shared" ref="M65:M93" si="13">G65+7</f>
        <v>44126.7</v>
      </c>
      <c r="N65" s="8">
        <f t="shared" si="9"/>
        <v>44133.7</v>
      </c>
      <c r="O65" s="9"/>
      <c r="P65" s="61">
        <v>72637</v>
      </c>
      <c r="Q65" s="71"/>
      <c r="R65" s="68"/>
      <c r="S65" s="64">
        <f t="shared" si="6"/>
        <v>19.39999999984866</v>
      </c>
      <c r="T65" s="64">
        <f t="shared" si="7"/>
        <v>19.39999999984866</v>
      </c>
      <c r="U65" s="65">
        <v>1105.8</v>
      </c>
      <c r="V65" s="66"/>
      <c r="W65" s="96" t="s">
        <v>69</v>
      </c>
    </row>
    <row r="66" spans="1:23" ht="21" customHeight="1">
      <c r="A66" s="22">
        <v>44119.719444444447</v>
      </c>
      <c r="B66" s="23" t="s">
        <v>20</v>
      </c>
      <c r="C66" s="24" t="s">
        <v>21</v>
      </c>
      <c r="D66" s="25">
        <v>174.3</v>
      </c>
      <c r="E66" s="11"/>
      <c r="F66" s="12">
        <f t="shared" si="8"/>
        <v>0</v>
      </c>
      <c r="G66" s="18">
        <v>44120.3125</v>
      </c>
      <c r="H66" s="15" t="str">
        <f t="shared" si="4"/>
        <v>07:30</v>
      </c>
      <c r="I66" s="15">
        <v>44120</v>
      </c>
      <c r="J66" s="20" t="str">
        <f t="shared" si="5"/>
        <v>16/10/20 07:30</v>
      </c>
      <c r="K66" s="15"/>
      <c r="L66" s="7">
        <f t="shared" si="12"/>
        <v>-31515</v>
      </c>
      <c r="M66" s="8">
        <f t="shared" si="13"/>
        <v>44127.3125</v>
      </c>
      <c r="N66" s="8">
        <f t="shared" si="9"/>
        <v>44134.3125</v>
      </c>
      <c r="O66" s="9"/>
      <c r="P66" s="61">
        <v>72642</v>
      </c>
      <c r="Q66" s="71"/>
      <c r="R66" s="68"/>
      <c r="S66" s="64">
        <f t="shared" si="6"/>
        <v>14.233333333279006</v>
      </c>
      <c r="T66" s="64">
        <f t="shared" si="7"/>
        <v>14.233333333279006</v>
      </c>
      <c r="U66" s="65">
        <v>1743</v>
      </c>
      <c r="V66" s="66"/>
      <c r="W66" s="96" t="s">
        <v>69</v>
      </c>
    </row>
    <row r="67" spans="1:23" ht="21" customHeight="1">
      <c r="A67" s="22">
        <v>44118.820833333331</v>
      </c>
      <c r="B67" s="23" t="s">
        <v>34</v>
      </c>
      <c r="C67" s="24" t="s">
        <v>49</v>
      </c>
      <c r="D67" s="25">
        <v>247</v>
      </c>
      <c r="E67" s="13"/>
      <c r="F67" s="12">
        <f t="shared" si="8"/>
        <v>0</v>
      </c>
      <c r="G67" s="18">
        <v>44120.470138888886</v>
      </c>
      <c r="H67" s="15" t="str">
        <f t="shared" si="4"/>
        <v>11:17</v>
      </c>
      <c r="I67" s="15">
        <v>44120</v>
      </c>
      <c r="J67" s="20" t="str">
        <f t="shared" si="5"/>
        <v>16/10/20 11:17</v>
      </c>
      <c r="K67" s="15"/>
      <c r="L67" s="7">
        <f t="shared" si="12"/>
        <v>-31515</v>
      </c>
      <c r="M67" s="8">
        <f t="shared" si="13"/>
        <v>44127.470138888886</v>
      </c>
      <c r="N67" s="8">
        <f t="shared" si="9"/>
        <v>44134.470138888886</v>
      </c>
      <c r="O67" s="9"/>
      <c r="P67" s="61">
        <v>72649</v>
      </c>
      <c r="Q67" s="71"/>
      <c r="R67" s="68"/>
      <c r="S67" s="64">
        <f t="shared" si="6"/>
        <v>39.583333333313931</v>
      </c>
      <c r="T67" s="64">
        <f t="shared" si="7"/>
        <v>39.583333333313931</v>
      </c>
      <c r="U67" s="65">
        <v>2470</v>
      </c>
      <c r="V67" s="66"/>
      <c r="W67" s="96" t="s">
        <v>69</v>
      </c>
    </row>
    <row r="68" spans="1:23" ht="21" customHeight="1">
      <c r="A68" s="22">
        <v>44119.457638888889</v>
      </c>
      <c r="B68" s="23" t="s">
        <v>50</v>
      </c>
      <c r="C68" s="24" t="s">
        <v>48</v>
      </c>
      <c r="D68" s="25">
        <v>165.9</v>
      </c>
      <c r="E68" s="13"/>
      <c r="F68" s="12">
        <f t="shared" ref="F68:F99" si="14">IFERROR((D68/E68),"1")-1</f>
        <v>0</v>
      </c>
      <c r="G68" s="18">
        <v>44120.569444444445</v>
      </c>
      <c r="H68" s="15" t="str">
        <f t="shared" si="4"/>
        <v>13:40</v>
      </c>
      <c r="I68" s="15">
        <v>44120</v>
      </c>
      <c r="J68" s="20" t="str">
        <f t="shared" si="5"/>
        <v>16/10/20 13:40</v>
      </c>
      <c r="K68" s="15"/>
      <c r="L68" s="7">
        <f t="shared" si="12"/>
        <v>-31515</v>
      </c>
      <c r="M68" s="8">
        <v>44120.569444444445</v>
      </c>
      <c r="N68" s="8">
        <f t="shared" ref="N68:N99" si="15">M68+7</f>
        <v>44127.569444444445</v>
      </c>
      <c r="O68" s="9"/>
      <c r="P68" s="61">
        <v>72657</v>
      </c>
      <c r="Q68" s="71"/>
      <c r="R68" s="68"/>
      <c r="S68" s="64">
        <f t="shared" si="6"/>
        <v>26.683333333348855</v>
      </c>
      <c r="T68" s="64">
        <f t="shared" si="7"/>
        <v>26.683333333348855</v>
      </c>
      <c r="U68" s="65">
        <v>829.5</v>
      </c>
      <c r="V68" s="66"/>
      <c r="W68" s="96" t="s">
        <v>69</v>
      </c>
    </row>
    <row r="69" spans="1:23" ht="21" customHeight="1">
      <c r="A69" s="22">
        <v>44118.899305555555</v>
      </c>
      <c r="B69" s="23" t="s">
        <v>24</v>
      </c>
      <c r="C69" s="24" t="s">
        <v>25</v>
      </c>
      <c r="D69" s="25">
        <v>251.8</v>
      </c>
      <c r="E69" s="13"/>
      <c r="F69" s="12">
        <f t="shared" si="14"/>
        <v>0</v>
      </c>
      <c r="G69" s="18">
        <v>44120.636111111111</v>
      </c>
      <c r="H69" s="15" t="str">
        <f t="shared" ref="H69:H127" si="16">TEXT(G69,"hh:mm;")</f>
        <v>15:16</v>
      </c>
      <c r="I69" s="15">
        <v>44120</v>
      </c>
      <c r="J69" s="20" t="str">
        <f t="shared" ref="J69:J125" si="17">CONCATENATE(TEXT(I69,"dd/mm/aa")," ",TEXT(H69,"hh:mm"))</f>
        <v>16/10/20 15:16</v>
      </c>
      <c r="K69" s="15"/>
      <c r="L69" s="7">
        <f t="shared" si="12"/>
        <v>-31515</v>
      </c>
      <c r="M69" s="8">
        <f t="shared" si="13"/>
        <v>44127.636111111111</v>
      </c>
      <c r="N69" s="8">
        <f t="shared" si="15"/>
        <v>44134.636111111111</v>
      </c>
      <c r="O69" s="9"/>
      <c r="P69" s="61">
        <v>72660</v>
      </c>
      <c r="Q69" s="71"/>
      <c r="R69" s="68"/>
      <c r="S69" s="64">
        <f t="shared" ref="S69:S125" si="18">IF(T69&lt;&gt;"",(G69-A69)*24,"")</f>
        <v>41.683333333348855</v>
      </c>
      <c r="T69" s="64">
        <f t="shared" ref="T69:T125" si="19">IFERROR((J69-A69)*24,"")</f>
        <v>41.683333333348855</v>
      </c>
      <c r="U69" s="65">
        <v>1259</v>
      </c>
      <c r="V69" s="66"/>
      <c r="W69" s="96" t="s">
        <v>69</v>
      </c>
    </row>
    <row r="70" spans="1:23" ht="21" customHeight="1">
      <c r="A70" s="22">
        <v>44118.899305555555</v>
      </c>
      <c r="B70" s="23" t="s">
        <v>24</v>
      </c>
      <c r="C70" s="24" t="s">
        <v>25</v>
      </c>
      <c r="D70" s="25">
        <v>174.1</v>
      </c>
      <c r="E70" s="13"/>
      <c r="F70" s="12">
        <f t="shared" si="14"/>
        <v>0</v>
      </c>
      <c r="G70" s="18">
        <v>44120.636111111111</v>
      </c>
      <c r="H70" s="15" t="str">
        <f t="shared" si="16"/>
        <v>15:16</v>
      </c>
      <c r="I70" s="15">
        <v>44120</v>
      </c>
      <c r="J70" s="20" t="str">
        <f t="shared" si="17"/>
        <v>16/10/20 15:16</v>
      </c>
      <c r="K70" s="15"/>
      <c r="L70" s="7">
        <f t="shared" si="12"/>
        <v>-31515</v>
      </c>
      <c r="M70" s="8">
        <f t="shared" si="13"/>
        <v>44127.636111111111</v>
      </c>
      <c r="N70" s="8">
        <f t="shared" si="15"/>
        <v>44134.636111111111</v>
      </c>
      <c r="O70" s="9"/>
      <c r="P70" s="61">
        <v>72661</v>
      </c>
      <c r="Q70" s="71"/>
      <c r="R70" s="68"/>
      <c r="S70" s="64">
        <f t="shared" si="18"/>
        <v>41.683333333348855</v>
      </c>
      <c r="T70" s="64">
        <f t="shared" si="19"/>
        <v>41.683333333348855</v>
      </c>
      <c r="U70" s="65">
        <v>870.5</v>
      </c>
      <c r="V70" s="66"/>
      <c r="W70" s="96" t="s">
        <v>69</v>
      </c>
    </row>
    <row r="71" spans="1:23" ht="21" customHeight="1">
      <c r="A71" s="22">
        <v>44118.899305555555</v>
      </c>
      <c r="B71" s="23" t="s">
        <v>24</v>
      </c>
      <c r="C71" s="24" t="s">
        <v>25</v>
      </c>
      <c r="D71" s="25">
        <v>304.5</v>
      </c>
      <c r="E71" s="13"/>
      <c r="F71" s="12">
        <f t="shared" si="14"/>
        <v>0</v>
      </c>
      <c r="G71" s="18">
        <v>44120.636111111111</v>
      </c>
      <c r="H71" s="15" t="str">
        <f t="shared" si="16"/>
        <v>15:16</v>
      </c>
      <c r="I71" s="15">
        <v>44120</v>
      </c>
      <c r="J71" s="20" t="str">
        <f t="shared" si="17"/>
        <v>16/10/20 15:16</v>
      </c>
      <c r="K71" s="15"/>
      <c r="L71" s="7">
        <f t="shared" si="12"/>
        <v>-31515</v>
      </c>
      <c r="M71" s="8">
        <f t="shared" si="13"/>
        <v>44127.636111111111</v>
      </c>
      <c r="N71" s="8">
        <f t="shared" si="15"/>
        <v>44134.636111111111</v>
      </c>
      <c r="O71" s="9"/>
      <c r="P71" s="61">
        <v>72662</v>
      </c>
      <c r="Q71" s="71"/>
      <c r="R71" s="68"/>
      <c r="S71" s="64">
        <f t="shared" si="18"/>
        <v>41.683333333348855</v>
      </c>
      <c r="T71" s="64">
        <f t="shared" si="19"/>
        <v>41.683333333348855</v>
      </c>
      <c r="U71" s="65">
        <v>1522</v>
      </c>
      <c r="V71" s="66"/>
      <c r="W71" s="96" t="s">
        <v>69</v>
      </c>
    </row>
    <row r="72" spans="1:23" ht="21" customHeight="1">
      <c r="A72" s="22">
        <v>44118.899305555555</v>
      </c>
      <c r="B72" s="23" t="s">
        <v>24</v>
      </c>
      <c r="C72" s="24" t="s">
        <v>25</v>
      </c>
      <c r="D72" s="25">
        <v>182.2</v>
      </c>
      <c r="E72" s="13"/>
      <c r="F72" s="12">
        <f t="shared" si="14"/>
        <v>0</v>
      </c>
      <c r="G72" s="18">
        <v>44120.636111111111</v>
      </c>
      <c r="H72" s="15" t="str">
        <f t="shared" si="16"/>
        <v>15:16</v>
      </c>
      <c r="I72" s="15">
        <v>44120</v>
      </c>
      <c r="J72" s="20" t="str">
        <f t="shared" si="17"/>
        <v>16/10/20 15:16</v>
      </c>
      <c r="K72" s="15"/>
      <c r="L72" s="7">
        <f t="shared" si="12"/>
        <v>-31515</v>
      </c>
      <c r="M72" s="8">
        <f t="shared" si="13"/>
        <v>44127.636111111111</v>
      </c>
      <c r="N72" s="8">
        <f t="shared" si="15"/>
        <v>44134.636111111111</v>
      </c>
      <c r="O72" s="9"/>
      <c r="P72" s="61">
        <v>72663</v>
      </c>
      <c r="Q72" s="71"/>
      <c r="R72" s="68"/>
      <c r="S72" s="64">
        <f t="shared" si="18"/>
        <v>41.683333333348855</v>
      </c>
      <c r="T72" s="64">
        <f t="shared" si="19"/>
        <v>41.683333333348855</v>
      </c>
      <c r="U72" s="65">
        <v>911</v>
      </c>
      <c r="V72" s="66"/>
      <c r="W72" s="96" t="s">
        <v>69</v>
      </c>
    </row>
    <row r="73" spans="1:23" ht="21" customHeight="1">
      <c r="A73" s="22">
        <v>44119.345833333333</v>
      </c>
      <c r="B73" s="23" t="s">
        <v>29</v>
      </c>
      <c r="C73" s="24" t="s">
        <v>49</v>
      </c>
      <c r="D73" s="25">
        <v>554.29999999999995</v>
      </c>
      <c r="E73" s="13"/>
      <c r="F73" s="12">
        <f t="shared" si="14"/>
        <v>0</v>
      </c>
      <c r="G73" s="18">
        <v>44123.376388888886</v>
      </c>
      <c r="H73" s="15" t="str">
        <f t="shared" si="16"/>
        <v>09:02</v>
      </c>
      <c r="I73" s="15">
        <v>44121</v>
      </c>
      <c r="J73" s="20" t="str">
        <f t="shared" si="17"/>
        <v>17/10/20 09:02</v>
      </c>
      <c r="K73" s="15"/>
      <c r="L73" s="7">
        <f t="shared" si="12"/>
        <v>-31516</v>
      </c>
      <c r="M73" s="8">
        <v>44123.376388888886</v>
      </c>
      <c r="N73" s="8">
        <f t="shared" si="15"/>
        <v>44130.376388888886</v>
      </c>
      <c r="O73" s="9"/>
      <c r="P73" s="61">
        <v>72692</v>
      </c>
      <c r="Q73" s="71"/>
      <c r="R73" s="68"/>
      <c r="S73" s="64">
        <f t="shared" si="18"/>
        <v>96.733333333279006</v>
      </c>
      <c r="T73" s="64">
        <f t="shared" si="19"/>
        <v>48.733333333279006</v>
      </c>
      <c r="U73" s="65">
        <v>1662</v>
      </c>
      <c r="V73" s="66"/>
      <c r="W73" s="96" t="s">
        <v>69</v>
      </c>
    </row>
    <row r="74" spans="1:23" ht="21" customHeight="1">
      <c r="A74" s="22">
        <v>44119.345833333333</v>
      </c>
      <c r="B74" s="23" t="s">
        <v>29</v>
      </c>
      <c r="C74" s="24" t="s">
        <v>49</v>
      </c>
      <c r="D74" s="25">
        <v>935.9</v>
      </c>
      <c r="E74" s="13"/>
      <c r="F74" s="12">
        <f t="shared" si="14"/>
        <v>0</v>
      </c>
      <c r="G74" s="18">
        <v>44123.376388888886</v>
      </c>
      <c r="H74" s="15" t="str">
        <f t="shared" si="16"/>
        <v>09:02</v>
      </c>
      <c r="I74" s="15">
        <v>44121</v>
      </c>
      <c r="J74" s="20" t="str">
        <f t="shared" si="17"/>
        <v>17/10/20 09:02</v>
      </c>
      <c r="K74" s="15"/>
      <c r="L74" s="7">
        <f t="shared" si="12"/>
        <v>-31516</v>
      </c>
      <c r="M74" s="8">
        <v>44123.376388888886</v>
      </c>
      <c r="N74" s="8">
        <f t="shared" si="15"/>
        <v>44130.376388888886</v>
      </c>
      <c r="O74" s="9"/>
      <c r="P74" s="61">
        <v>72694</v>
      </c>
      <c r="Q74" s="71"/>
      <c r="R74" s="68"/>
      <c r="S74" s="64">
        <f t="shared" si="18"/>
        <v>96.733333333279006</v>
      </c>
      <c r="T74" s="64">
        <f t="shared" si="19"/>
        <v>48.733333333279006</v>
      </c>
      <c r="U74" s="65">
        <v>2807.7</v>
      </c>
      <c r="V74" s="66"/>
      <c r="W74" s="96" t="s">
        <v>69</v>
      </c>
    </row>
    <row r="75" spans="1:23" ht="21" customHeight="1">
      <c r="A75" s="22">
        <v>44120.459722222222</v>
      </c>
      <c r="B75" s="23" t="s">
        <v>50</v>
      </c>
      <c r="C75" s="24" t="s">
        <v>48</v>
      </c>
      <c r="D75" s="25">
        <v>349.1</v>
      </c>
      <c r="E75" s="13"/>
      <c r="F75" s="12">
        <f t="shared" si="14"/>
        <v>0</v>
      </c>
      <c r="G75" s="18">
        <v>44123.450694444444</v>
      </c>
      <c r="H75" s="15" t="str">
        <f t="shared" si="16"/>
        <v>10:49</v>
      </c>
      <c r="I75" s="15">
        <v>44121</v>
      </c>
      <c r="J75" s="20" t="str">
        <f t="shared" si="17"/>
        <v>17/10/20 10:49</v>
      </c>
      <c r="K75" s="15"/>
      <c r="L75" s="7">
        <f t="shared" si="12"/>
        <v>-31516</v>
      </c>
      <c r="M75" s="8">
        <f t="shared" si="13"/>
        <v>44130.450694444444</v>
      </c>
      <c r="N75" s="8">
        <f t="shared" si="15"/>
        <v>44137.450694444444</v>
      </c>
      <c r="O75" s="9"/>
      <c r="P75" s="61">
        <v>72706</v>
      </c>
      <c r="Q75" s="71"/>
      <c r="R75" s="68"/>
      <c r="S75" s="64">
        <f t="shared" si="18"/>
        <v>71.783333333325572</v>
      </c>
      <c r="T75" s="64">
        <f t="shared" si="19"/>
        <v>23.783333333325572</v>
      </c>
      <c r="U75" s="65">
        <v>1047.3</v>
      </c>
      <c r="V75" s="66"/>
      <c r="W75" s="96" t="s">
        <v>69</v>
      </c>
    </row>
    <row r="76" spans="1:23" ht="21" customHeight="1">
      <c r="A76" s="22">
        <v>44120.487500000003</v>
      </c>
      <c r="B76" s="23" t="s">
        <v>32</v>
      </c>
      <c r="C76" s="24" t="s">
        <v>33</v>
      </c>
      <c r="D76" s="25">
        <v>253.6</v>
      </c>
      <c r="E76" s="13"/>
      <c r="F76" s="12">
        <f t="shared" si="14"/>
        <v>0</v>
      </c>
      <c r="G76" s="18">
        <v>44123.477777777778</v>
      </c>
      <c r="H76" s="15" t="str">
        <f t="shared" si="16"/>
        <v>11:28</v>
      </c>
      <c r="I76" s="15">
        <v>44121</v>
      </c>
      <c r="J76" s="20" t="str">
        <f t="shared" si="17"/>
        <v>17/10/20 11:28</v>
      </c>
      <c r="K76" s="15"/>
      <c r="L76" s="7">
        <f t="shared" si="12"/>
        <v>-31516</v>
      </c>
      <c r="M76" s="8">
        <f t="shared" si="13"/>
        <v>44130.477777777778</v>
      </c>
      <c r="N76" s="8">
        <f t="shared" si="15"/>
        <v>44137.477777777778</v>
      </c>
      <c r="O76" s="9"/>
      <c r="P76" s="61">
        <v>72708</v>
      </c>
      <c r="Q76" s="71"/>
      <c r="R76" s="68"/>
      <c r="S76" s="64">
        <f t="shared" si="18"/>
        <v>71.766666666604578</v>
      </c>
      <c r="T76" s="64">
        <f t="shared" si="19"/>
        <v>23.766666666604578</v>
      </c>
      <c r="U76" s="73">
        <v>12680</v>
      </c>
      <c r="V76" s="66"/>
      <c r="W76" s="96" t="s">
        <v>69</v>
      </c>
    </row>
    <row r="77" spans="1:23" ht="21" customHeight="1">
      <c r="A77" s="22">
        <v>44123.499305555553</v>
      </c>
      <c r="B77" s="23" t="s">
        <v>44</v>
      </c>
      <c r="C77" s="24" t="s">
        <v>45</v>
      </c>
      <c r="D77" s="25">
        <v>167.4</v>
      </c>
      <c r="E77" s="13"/>
      <c r="F77" s="12">
        <f t="shared" si="14"/>
        <v>0</v>
      </c>
      <c r="G77" s="18">
        <v>44123.572222222225</v>
      </c>
      <c r="H77" s="15" t="str">
        <f t="shared" si="16"/>
        <v>13:44</v>
      </c>
      <c r="I77" s="15">
        <v>44123</v>
      </c>
      <c r="J77" s="20" t="str">
        <f t="shared" si="17"/>
        <v>19/10/20 13:44</v>
      </c>
      <c r="K77" s="15"/>
      <c r="L77" s="7">
        <f t="shared" si="12"/>
        <v>-31516</v>
      </c>
      <c r="M77" s="8">
        <v>44123.572222222225</v>
      </c>
      <c r="N77" s="8">
        <f t="shared" si="15"/>
        <v>44130.572222222225</v>
      </c>
      <c r="O77" s="9"/>
      <c r="P77" s="61">
        <v>72712</v>
      </c>
      <c r="Q77" s="71" t="s">
        <v>88</v>
      </c>
      <c r="R77" s="68">
        <v>44125.004166666666</v>
      </c>
      <c r="S77" s="64">
        <f t="shared" si="18"/>
        <v>1.7500000001164153</v>
      </c>
      <c r="T77" s="64">
        <f t="shared" si="19"/>
        <v>1.7500000001164153</v>
      </c>
      <c r="U77" s="73">
        <v>502.2</v>
      </c>
      <c r="V77" s="66"/>
      <c r="W77" s="96" t="s">
        <v>69</v>
      </c>
    </row>
    <row r="78" spans="1:23" ht="21" customHeight="1">
      <c r="A78" s="22">
        <v>44123.615277777775</v>
      </c>
      <c r="B78" s="23" t="s">
        <v>38</v>
      </c>
      <c r="C78" s="28" t="s">
        <v>19</v>
      </c>
      <c r="D78" s="29">
        <v>346.5</v>
      </c>
      <c r="E78" s="13"/>
      <c r="F78" s="12">
        <f t="shared" si="14"/>
        <v>0</v>
      </c>
      <c r="G78" s="18">
        <v>44124.359027777777</v>
      </c>
      <c r="H78" s="15" t="str">
        <f t="shared" si="16"/>
        <v>08:37</v>
      </c>
      <c r="I78" s="15">
        <v>44124</v>
      </c>
      <c r="J78" s="20" t="str">
        <f t="shared" si="17"/>
        <v>20/10/20 08:37</v>
      </c>
      <c r="K78" s="15"/>
      <c r="L78" s="7">
        <f t="shared" si="12"/>
        <v>-31517</v>
      </c>
      <c r="M78" s="8">
        <f t="shared" si="13"/>
        <v>44131.359027777777</v>
      </c>
      <c r="N78" s="8">
        <f t="shared" si="15"/>
        <v>44138.359027777777</v>
      </c>
      <c r="O78" s="9"/>
      <c r="P78" s="61">
        <v>72724</v>
      </c>
      <c r="Q78" s="71"/>
      <c r="R78" s="68"/>
      <c r="S78" s="64">
        <f t="shared" si="18"/>
        <v>17.850000000034925</v>
      </c>
      <c r="T78" s="64">
        <f t="shared" si="19"/>
        <v>17.850000000034925</v>
      </c>
      <c r="U78" s="73">
        <v>1732.5</v>
      </c>
      <c r="V78" s="66"/>
      <c r="W78" s="96" t="s">
        <v>69</v>
      </c>
    </row>
    <row r="79" spans="1:23" ht="21" customHeight="1">
      <c r="A79" s="22">
        <v>44123.396527777775</v>
      </c>
      <c r="B79" s="23" t="s">
        <v>24</v>
      </c>
      <c r="C79" s="28" t="s">
        <v>25</v>
      </c>
      <c r="D79" s="29">
        <v>163.80000000000001</v>
      </c>
      <c r="E79" s="13"/>
      <c r="F79" s="12">
        <f t="shared" si="14"/>
        <v>0</v>
      </c>
      <c r="G79" s="18">
        <v>44124.377083333333</v>
      </c>
      <c r="H79" s="15" t="str">
        <f t="shared" si="16"/>
        <v>09:03</v>
      </c>
      <c r="I79" s="15">
        <v>44124</v>
      </c>
      <c r="J79" s="20" t="str">
        <f t="shared" si="17"/>
        <v>20/10/20 09:03</v>
      </c>
      <c r="K79" s="15"/>
      <c r="L79" s="7">
        <f t="shared" si="12"/>
        <v>-31517</v>
      </c>
      <c r="M79" s="8">
        <f t="shared" si="13"/>
        <v>44131.377083333333</v>
      </c>
      <c r="N79" s="8">
        <f t="shared" si="15"/>
        <v>44138.377083333333</v>
      </c>
      <c r="O79" s="9"/>
      <c r="P79" s="61">
        <v>72727</v>
      </c>
      <c r="Q79" s="71"/>
      <c r="R79" s="68"/>
      <c r="S79" s="64">
        <f t="shared" si="18"/>
        <v>23.53333333338378</v>
      </c>
      <c r="T79" s="64">
        <f t="shared" si="19"/>
        <v>23.53333333338378</v>
      </c>
      <c r="U79" s="73">
        <v>1965.6</v>
      </c>
      <c r="V79" s="66"/>
      <c r="W79" s="96" t="s">
        <v>69</v>
      </c>
    </row>
    <row r="80" spans="1:23" ht="21" customHeight="1">
      <c r="A80" s="22">
        <v>44147.411111111112</v>
      </c>
      <c r="B80" s="23" t="s">
        <v>50</v>
      </c>
      <c r="C80" s="28" t="s">
        <v>64</v>
      </c>
      <c r="D80" s="29">
        <v>305.5</v>
      </c>
      <c r="E80" s="13"/>
      <c r="F80" s="12">
        <f t="shared" si="14"/>
        <v>0</v>
      </c>
      <c r="G80" s="18">
        <v>44149.418749999997</v>
      </c>
      <c r="H80" s="15" t="str">
        <f t="shared" si="16"/>
        <v>10:03</v>
      </c>
      <c r="I80" s="15">
        <v>44124</v>
      </c>
      <c r="J80" s="20" t="str">
        <f t="shared" si="17"/>
        <v>20/10/20 10:03</v>
      </c>
      <c r="K80" s="15"/>
      <c r="L80" s="7">
        <f t="shared" si="12"/>
        <v>-31535</v>
      </c>
      <c r="M80" s="8">
        <v>44124.418749999997</v>
      </c>
      <c r="N80" s="8">
        <f t="shared" si="15"/>
        <v>44131.418749999997</v>
      </c>
      <c r="O80" s="9"/>
      <c r="P80" s="61">
        <v>72732</v>
      </c>
      <c r="Q80" s="71" t="s">
        <v>87</v>
      </c>
      <c r="R80" s="68">
        <v>44125.663888888892</v>
      </c>
      <c r="S80" s="64">
        <f t="shared" si="18"/>
        <v>48.18333333323244</v>
      </c>
      <c r="T80" s="64">
        <f t="shared" si="19"/>
        <v>-551.81666666676756</v>
      </c>
      <c r="U80" s="73">
        <v>916.5</v>
      </c>
      <c r="V80" s="66"/>
      <c r="W80" s="96" t="s">
        <v>69</v>
      </c>
    </row>
    <row r="81" spans="1:23" ht="21" customHeight="1">
      <c r="A81" s="22">
        <v>44123.42083333333</v>
      </c>
      <c r="B81" s="23" t="s">
        <v>65</v>
      </c>
      <c r="C81" s="28" t="s">
        <v>66</v>
      </c>
      <c r="D81" s="29">
        <v>216.4</v>
      </c>
      <c r="E81" s="13"/>
      <c r="F81" s="12">
        <f t="shared" si="14"/>
        <v>0</v>
      </c>
      <c r="G81" s="18">
        <v>44124.431250000001</v>
      </c>
      <c r="H81" s="15" t="str">
        <f t="shared" si="16"/>
        <v>10:21</v>
      </c>
      <c r="I81" s="15">
        <v>44124</v>
      </c>
      <c r="J81" s="20" t="str">
        <f t="shared" si="17"/>
        <v>20/10/20 10:21</v>
      </c>
      <c r="K81" s="15"/>
      <c r="L81" s="7">
        <f t="shared" si="12"/>
        <v>-31517</v>
      </c>
      <c r="M81" s="8">
        <v>44124.431250000001</v>
      </c>
      <c r="N81" s="8">
        <f t="shared" si="15"/>
        <v>44131.431250000001</v>
      </c>
      <c r="O81" s="9"/>
      <c r="P81" s="61">
        <v>72733</v>
      </c>
      <c r="Q81" s="71"/>
      <c r="R81" s="68"/>
      <c r="S81" s="64">
        <f t="shared" si="18"/>
        <v>24.250000000116415</v>
      </c>
      <c r="T81" s="64">
        <f>IFERROR((J81-A81)*24,"")</f>
        <v>24.250000000116415</v>
      </c>
      <c r="U81" s="73">
        <v>2164</v>
      </c>
      <c r="V81" s="66"/>
      <c r="W81" s="96" t="s">
        <v>69</v>
      </c>
    </row>
    <row r="82" spans="1:23" ht="21" customHeight="1">
      <c r="A82" s="22">
        <v>44123.542361111111</v>
      </c>
      <c r="B82" s="23" t="s">
        <v>22</v>
      </c>
      <c r="C82" s="28" t="s">
        <v>23</v>
      </c>
      <c r="D82" s="29">
        <v>338</v>
      </c>
      <c r="E82" s="13"/>
      <c r="F82" s="12">
        <f t="shared" si="14"/>
        <v>0</v>
      </c>
      <c r="G82" s="18">
        <v>44125.316666666666</v>
      </c>
      <c r="H82" s="15" t="str">
        <f t="shared" si="16"/>
        <v>07:36</v>
      </c>
      <c r="I82" s="15">
        <v>44125</v>
      </c>
      <c r="J82" s="20" t="str">
        <f t="shared" si="17"/>
        <v>21/10/20 07:36</v>
      </c>
      <c r="K82" s="15"/>
      <c r="L82" s="7">
        <f t="shared" si="12"/>
        <v>-31518</v>
      </c>
      <c r="M82" s="8">
        <f t="shared" si="13"/>
        <v>44132.316666666666</v>
      </c>
      <c r="N82" s="8">
        <f t="shared" si="15"/>
        <v>44139.316666666666</v>
      </c>
      <c r="O82" s="9"/>
      <c r="P82" s="61">
        <v>72747</v>
      </c>
      <c r="Q82" s="71"/>
      <c r="R82" s="68"/>
      <c r="S82" s="64">
        <f t="shared" si="18"/>
        <v>42.583333333313931</v>
      </c>
      <c r="T82" s="64">
        <f t="shared" si="19"/>
        <v>42.583333333313931</v>
      </c>
      <c r="U82" s="73">
        <v>1014</v>
      </c>
      <c r="V82" s="66"/>
      <c r="W82" s="96" t="s">
        <v>69</v>
      </c>
    </row>
    <row r="83" spans="1:23" ht="21" customHeight="1">
      <c r="A83" s="22">
        <v>44123.542361111111</v>
      </c>
      <c r="B83" s="23" t="s">
        <v>22</v>
      </c>
      <c r="C83" s="28" t="s">
        <v>23</v>
      </c>
      <c r="D83" s="29">
        <v>326</v>
      </c>
      <c r="E83" s="14"/>
      <c r="F83" s="12">
        <f t="shared" si="14"/>
        <v>0</v>
      </c>
      <c r="G83" s="18">
        <v>44125.316666666666</v>
      </c>
      <c r="H83" s="15" t="str">
        <f t="shared" si="16"/>
        <v>07:36</v>
      </c>
      <c r="I83" s="15">
        <v>44125</v>
      </c>
      <c r="J83" s="20" t="str">
        <f t="shared" si="17"/>
        <v>21/10/20 07:36</v>
      </c>
      <c r="K83" s="15"/>
      <c r="L83" s="7">
        <f t="shared" si="12"/>
        <v>-31518</v>
      </c>
      <c r="M83" s="8">
        <f t="shared" si="13"/>
        <v>44132.316666666666</v>
      </c>
      <c r="N83" s="8">
        <f t="shared" si="15"/>
        <v>44139.316666666666</v>
      </c>
      <c r="O83" s="9"/>
      <c r="P83" s="61">
        <v>72748</v>
      </c>
      <c r="Q83" s="71"/>
      <c r="R83" s="68"/>
      <c r="S83" s="64">
        <f t="shared" si="18"/>
        <v>42.583333333313931</v>
      </c>
      <c r="T83" s="64">
        <f>IFERROR((J83-A83)*24,"")</f>
        <v>42.583333333313931</v>
      </c>
      <c r="U83" s="73">
        <v>978</v>
      </c>
      <c r="V83" s="66"/>
      <c r="W83" s="96" t="s">
        <v>69</v>
      </c>
    </row>
    <row r="84" spans="1:23" ht="21" customHeight="1">
      <c r="A84" s="22">
        <v>44124.540972222225</v>
      </c>
      <c r="B84" s="23" t="s">
        <v>70</v>
      </c>
      <c r="C84" s="28" t="s">
        <v>71</v>
      </c>
      <c r="D84" s="29">
        <v>208.4</v>
      </c>
      <c r="E84" s="14"/>
      <c r="F84" s="12">
        <f t="shared" si="14"/>
        <v>0</v>
      </c>
      <c r="G84" s="18">
        <v>44126.31527777778</v>
      </c>
      <c r="H84" s="15" t="str">
        <f t="shared" si="16"/>
        <v>07:34</v>
      </c>
      <c r="I84" s="15">
        <v>44126</v>
      </c>
      <c r="J84" s="20" t="str">
        <f t="shared" si="17"/>
        <v>22/10/20 07:34</v>
      </c>
      <c r="K84" s="15"/>
      <c r="L84" s="7">
        <f t="shared" si="12"/>
        <v>-31519</v>
      </c>
      <c r="M84" s="8">
        <f t="shared" si="13"/>
        <v>44133.31527777778</v>
      </c>
      <c r="N84" s="8">
        <f t="shared" si="15"/>
        <v>44140.31527777778</v>
      </c>
      <c r="O84" s="9"/>
      <c r="P84" s="61">
        <v>72771</v>
      </c>
      <c r="Q84" s="71"/>
      <c r="R84" s="68"/>
      <c r="S84" s="64">
        <f t="shared" si="18"/>
        <v>42.583333333313931</v>
      </c>
      <c r="T84" s="64">
        <f t="shared" si="19"/>
        <v>42.583333333313931</v>
      </c>
      <c r="U84" s="73">
        <v>625.20000000000005</v>
      </c>
      <c r="V84" s="66"/>
      <c r="W84" s="96" t="s">
        <v>69</v>
      </c>
    </row>
    <row r="85" spans="1:23" ht="21" customHeight="1">
      <c r="A85" s="22">
        <v>44124.587500000001</v>
      </c>
      <c r="B85" s="23" t="s">
        <v>46</v>
      </c>
      <c r="C85" s="28" t="s">
        <v>25</v>
      </c>
      <c r="D85" s="29">
        <v>169</v>
      </c>
      <c r="E85" s="14"/>
      <c r="F85" s="12">
        <f t="shared" si="14"/>
        <v>0</v>
      </c>
      <c r="G85" s="18">
        <v>44126.432638888888</v>
      </c>
      <c r="H85" s="15" t="str">
        <f t="shared" si="16"/>
        <v>10:23</v>
      </c>
      <c r="I85" s="15">
        <v>44126</v>
      </c>
      <c r="J85" s="20" t="str">
        <f t="shared" si="17"/>
        <v>22/10/20 10:23</v>
      </c>
      <c r="K85" s="15"/>
      <c r="L85" s="7">
        <f t="shared" si="12"/>
        <v>-31519</v>
      </c>
      <c r="M85" s="8">
        <f t="shared" si="13"/>
        <v>44133.432638888888</v>
      </c>
      <c r="N85" s="8">
        <f t="shared" si="15"/>
        <v>44140.432638888888</v>
      </c>
      <c r="O85" s="9"/>
      <c r="P85" s="61">
        <v>72772</v>
      </c>
      <c r="Q85" s="71"/>
      <c r="R85" s="68"/>
      <c r="S85" s="64">
        <f t="shared" si="18"/>
        <v>44.283333333267365</v>
      </c>
      <c r="T85" s="64">
        <f t="shared" si="19"/>
        <v>44.283333333267365</v>
      </c>
      <c r="U85" s="73">
        <v>1690</v>
      </c>
      <c r="V85" s="66"/>
      <c r="W85" s="96" t="s">
        <v>69</v>
      </c>
    </row>
    <row r="86" spans="1:23" ht="21" customHeight="1">
      <c r="A86" s="22">
        <v>44124.940972222219</v>
      </c>
      <c r="B86" s="23" t="s">
        <v>24</v>
      </c>
      <c r="C86" s="28" t="s">
        <v>25</v>
      </c>
      <c r="D86" s="29">
        <v>806.6</v>
      </c>
      <c r="E86" s="14"/>
      <c r="F86" s="12">
        <f t="shared" si="14"/>
        <v>0</v>
      </c>
      <c r="G86" s="18">
        <v>44126.334722222222</v>
      </c>
      <c r="H86" s="15" t="str">
        <f t="shared" si="16"/>
        <v>08:02</v>
      </c>
      <c r="I86" s="15">
        <v>44126</v>
      </c>
      <c r="J86" s="20" t="str">
        <f t="shared" si="17"/>
        <v>22/10/20 08:02</v>
      </c>
      <c r="K86" s="15"/>
      <c r="L86" s="7">
        <f t="shared" si="12"/>
        <v>-31519</v>
      </c>
      <c r="M86" s="8">
        <f t="shared" si="13"/>
        <v>44133.334722222222</v>
      </c>
      <c r="N86" s="8">
        <f t="shared" si="15"/>
        <v>44140.334722222222</v>
      </c>
      <c r="O86" s="9"/>
      <c r="P86" s="61">
        <v>72773</v>
      </c>
      <c r="Q86" s="71"/>
      <c r="R86" s="68"/>
      <c r="S86" s="64">
        <f t="shared" si="18"/>
        <v>33.450000000069849</v>
      </c>
      <c r="T86" s="64">
        <f t="shared" si="19"/>
        <v>33.450000000069849</v>
      </c>
      <c r="U86" s="73">
        <v>2419.8000000000002</v>
      </c>
      <c r="V86" s="66"/>
      <c r="W86" s="96" t="s">
        <v>69</v>
      </c>
    </row>
    <row r="87" spans="1:23" ht="21" customHeight="1">
      <c r="A87" s="22">
        <v>44124.605555555558</v>
      </c>
      <c r="B87" s="23" t="s">
        <v>72</v>
      </c>
      <c r="C87" s="28" t="s">
        <v>73</v>
      </c>
      <c r="D87" s="29">
        <v>261.60000000000002</v>
      </c>
      <c r="E87" s="14"/>
      <c r="F87" s="12">
        <f t="shared" si="14"/>
        <v>0</v>
      </c>
      <c r="G87" s="18">
        <v>44126.377083333333</v>
      </c>
      <c r="H87" s="15" t="str">
        <f t="shared" si="16"/>
        <v>09:03</v>
      </c>
      <c r="I87" s="15">
        <v>44126</v>
      </c>
      <c r="J87" s="20" t="str">
        <f t="shared" si="17"/>
        <v>22/10/20 09:03</v>
      </c>
      <c r="K87" s="15"/>
      <c r="L87" s="7">
        <f t="shared" si="12"/>
        <v>-31519</v>
      </c>
      <c r="M87" s="8">
        <f t="shared" si="13"/>
        <v>44133.377083333333</v>
      </c>
      <c r="N87" s="8">
        <f t="shared" si="15"/>
        <v>44140.377083333333</v>
      </c>
      <c r="O87" s="9"/>
      <c r="P87" s="61">
        <v>72774</v>
      </c>
      <c r="Q87" s="71"/>
      <c r="R87" s="68"/>
      <c r="S87" s="64">
        <f t="shared" si="18"/>
        <v>42.516666666604578</v>
      </c>
      <c r="T87" s="64">
        <f t="shared" si="19"/>
        <v>42.516666666604578</v>
      </c>
      <c r="U87" s="73">
        <v>2619</v>
      </c>
      <c r="V87" s="66"/>
      <c r="W87" s="96" t="s">
        <v>69</v>
      </c>
    </row>
    <row r="88" spans="1:23" ht="21" customHeight="1">
      <c r="A88" s="22">
        <v>44124.946527777778</v>
      </c>
      <c r="B88" s="23" t="s">
        <v>24</v>
      </c>
      <c r="C88" s="28" t="s">
        <v>25</v>
      </c>
      <c r="D88" s="29">
        <v>217.4</v>
      </c>
      <c r="E88" s="14"/>
      <c r="F88" s="12">
        <f t="shared" si="14"/>
        <v>0</v>
      </c>
      <c r="G88" s="18">
        <v>44127.539583333331</v>
      </c>
      <c r="H88" s="15" t="str">
        <f t="shared" si="16"/>
        <v>12:57</v>
      </c>
      <c r="I88" s="15">
        <v>44127</v>
      </c>
      <c r="J88" s="20" t="str">
        <f t="shared" si="17"/>
        <v>23/10/20 12:57</v>
      </c>
      <c r="K88" s="15"/>
      <c r="L88" s="7">
        <f t="shared" si="12"/>
        <v>-31520</v>
      </c>
      <c r="M88" s="8">
        <f t="shared" si="13"/>
        <v>44134.539583333331</v>
      </c>
      <c r="N88" s="8">
        <f t="shared" si="15"/>
        <v>44141.539583333331</v>
      </c>
      <c r="O88" s="9"/>
      <c r="P88" s="61">
        <v>72775</v>
      </c>
      <c r="Q88" s="71"/>
      <c r="R88" s="68"/>
      <c r="S88" s="64">
        <f t="shared" si="18"/>
        <v>62.233333333279006</v>
      </c>
      <c r="T88" s="64">
        <f t="shared" si="19"/>
        <v>62.233333333279006</v>
      </c>
      <c r="U88" s="73">
        <v>2174</v>
      </c>
      <c r="V88" s="66"/>
      <c r="W88" s="96" t="s">
        <v>69</v>
      </c>
    </row>
    <row r="89" spans="1:23" ht="21" customHeight="1">
      <c r="A89" s="22">
        <v>44124.958333333336</v>
      </c>
      <c r="B89" s="23" t="s">
        <v>24</v>
      </c>
      <c r="C89" s="28" t="s">
        <v>25</v>
      </c>
      <c r="D89" s="29">
        <v>362</v>
      </c>
      <c r="E89" s="14"/>
      <c r="F89" s="12">
        <f t="shared" si="14"/>
        <v>0</v>
      </c>
      <c r="G89" s="18">
        <v>44126.40625</v>
      </c>
      <c r="H89" s="15" t="str">
        <f t="shared" si="16"/>
        <v>09:45</v>
      </c>
      <c r="I89" s="15">
        <v>44126</v>
      </c>
      <c r="J89" s="20" t="str">
        <f t="shared" si="17"/>
        <v>22/10/20 09:45</v>
      </c>
      <c r="K89" s="15"/>
      <c r="L89" s="7">
        <f t="shared" si="12"/>
        <v>-31519</v>
      </c>
      <c r="M89" s="8">
        <f t="shared" si="13"/>
        <v>44133.40625</v>
      </c>
      <c r="N89" s="8">
        <f t="shared" si="15"/>
        <v>44140.40625</v>
      </c>
      <c r="O89" s="9"/>
      <c r="P89" s="61">
        <v>72777</v>
      </c>
      <c r="Q89" s="71"/>
      <c r="R89" s="68"/>
      <c r="S89" s="64">
        <f t="shared" si="18"/>
        <v>34.749999999941792</v>
      </c>
      <c r="T89" s="64">
        <f t="shared" si="19"/>
        <v>34.749999999941792</v>
      </c>
      <c r="U89" s="73">
        <v>3620</v>
      </c>
      <c r="V89" s="66"/>
      <c r="W89" s="96" t="s">
        <v>69</v>
      </c>
    </row>
    <row r="90" spans="1:23" ht="21" customHeight="1">
      <c r="A90" s="22">
        <v>44124.592361111114</v>
      </c>
      <c r="B90" s="23" t="s">
        <v>74</v>
      </c>
      <c r="C90" s="28" t="s">
        <v>33</v>
      </c>
      <c r="D90" s="29">
        <v>108.4</v>
      </c>
      <c r="E90" s="14"/>
      <c r="F90" s="12">
        <f t="shared" si="14"/>
        <v>0</v>
      </c>
      <c r="G90" s="18">
        <v>44126.440972222219</v>
      </c>
      <c r="H90" s="15" t="str">
        <f t="shared" si="16"/>
        <v>10:35</v>
      </c>
      <c r="I90" s="15">
        <v>44126</v>
      </c>
      <c r="J90" s="20" t="str">
        <f t="shared" si="17"/>
        <v>22/10/20 10:35</v>
      </c>
      <c r="K90" s="15"/>
      <c r="L90" s="7">
        <f t="shared" si="12"/>
        <v>-31519</v>
      </c>
      <c r="M90" s="8">
        <f t="shared" si="13"/>
        <v>44133.440972222219</v>
      </c>
      <c r="N90" s="8">
        <f t="shared" si="15"/>
        <v>44140.440972222219</v>
      </c>
      <c r="O90" s="9"/>
      <c r="P90" s="61">
        <v>72778</v>
      </c>
      <c r="Q90" s="71"/>
      <c r="R90" s="68"/>
      <c r="S90" s="64">
        <f t="shared" si="18"/>
        <v>44.366666666523088</v>
      </c>
      <c r="T90" s="64">
        <f t="shared" si="19"/>
        <v>44.366666666523088</v>
      </c>
      <c r="U90" s="73">
        <v>1084</v>
      </c>
      <c r="V90" s="66"/>
      <c r="W90" s="96" t="s">
        <v>69</v>
      </c>
    </row>
    <row r="91" spans="1:23" ht="21" customHeight="1">
      <c r="A91" s="22">
        <v>44128.320138888892</v>
      </c>
      <c r="B91" s="23" t="s">
        <v>44</v>
      </c>
      <c r="C91" s="28" t="s">
        <v>45</v>
      </c>
      <c r="D91" s="29">
        <v>118.3</v>
      </c>
      <c r="E91" s="14"/>
      <c r="F91" s="12">
        <f t="shared" si="14"/>
        <v>0</v>
      </c>
      <c r="G91" s="18">
        <v>44131.345138888886</v>
      </c>
      <c r="H91" s="15" t="str">
        <f t="shared" si="16"/>
        <v>08:17</v>
      </c>
      <c r="I91" s="15">
        <v>44129</v>
      </c>
      <c r="J91" s="20" t="str">
        <f t="shared" si="17"/>
        <v>25/10/20 08:17</v>
      </c>
      <c r="K91" s="15"/>
      <c r="L91" s="7">
        <f t="shared" si="12"/>
        <v>-31522</v>
      </c>
      <c r="M91" s="8">
        <v>44131.345138888886</v>
      </c>
      <c r="N91" s="8">
        <f t="shared" si="15"/>
        <v>44138.345138888886</v>
      </c>
      <c r="O91" s="9"/>
      <c r="P91" s="61">
        <v>72894</v>
      </c>
      <c r="Q91" s="71"/>
      <c r="R91" s="68"/>
      <c r="S91" s="64">
        <f t="shared" si="18"/>
        <v>72.599999999860302</v>
      </c>
      <c r="T91" s="64">
        <f t="shared" si="19"/>
        <v>24.599999999860302</v>
      </c>
      <c r="U91" s="73">
        <v>1183</v>
      </c>
      <c r="V91" s="66"/>
      <c r="W91" s="96" t="s">
        <v>69</v>
      </c>
    </row>
    <row r="92" spans="1:23" ht="21" customHeight="1">
      <c r="A92" s="22">
        <v>44128.320138888892</v>
      </c>
      <c r="B92" s="23" t="s">
        <v>18</v>
      </c>
      <c r="C92" s="28" t="s">
        <v>19</v>
      </c>
      <c r="D92" s="29">
        <v>175.5</v>
      </c>
      <c r="E92" s="14"/>
      <c r="F92" s="12">
        <f t="shared" si="14"/>
        <v>0</v>
      </c>
      <c r="G92" s="18">
        <v>44131.556944444441</v>
      </c>
      <c r="H92" s="15" t="str">
        <f t="shared" si="16"/>
        <v>13:22</v>
      </c>
      <c r="I92" s="15">
        <v>44129</v>
      </c>
      <c r="J92" s="20" t="str">
        <f t="shared" si="17"/>
        <v>25/10/20 13:22</v>
      </c>
      <c r="K92" s="15"/>
      <c r="L92" s="7">
        <f t="shared" si="12"/>
        <v>-31522</v>
      </c>
      <c r="M92" s="8">
        <v>44131.556944444441</v>
      </c>
      <c r="N92" s="8">
        <f t="shared" si="15"/>
        <v>44138.556944444441</v>
      </c>
      <c r="O92" s="9"/>
      <c r="P92" s="61">
        <v>72895</v>
      </c>
      <c r="Q92" s="71"/>
      <c r="R92" s="68"/>
      <c r="S92" s="64">
        <f t="shared" si="18"/>
        <v>77.683333333174232</v>
      </c>
      <c r="T92" s="64">
        <f t="shared" si="19"/>
        <v>29.683333333174232</v>
      </c>
      <c r="U92" s="73">
        <v>877.5</v>
      </c>
      <c r="V92" s="66"/>
      <c r="W92" s="96" t="s">
        <v>69</v>
      </c>
    </row>
    <row r="93" spans="1:23" ht="21" customHeight="1">
      <c r="A93" s="22">
        <v>44130.667361111111</v>
      </c>
      <c r="B93" s="23" t="s">
        <v>18</v>
      </c>
      <c r="C93" s="28" t="s">
        <v>19</v>
      </c>
      <c r="D93" s="29">
        <v>156.1</v>
      </c>
      <c r="E93" s="14"/>
      <c r="F93" s="12">
        <f t="shared" si="14"/>
        <v>0</v>
      </c>
      <c r="G93" s="18">
        <v>44131.556944444441</v>
      </c>
      <c r="H93" s="15" t="str">
        <f t="shared" si="16"/>
        <v>13:22</v>
      </c>
      <c r="I93" s="15">
        <v>44131</v>
      </c>
      <c r="J93" s="20" t="str">
        <f t="shared" si="17"/>
        <v>27/10/20 13:22</v>
      </c>
      <c r="K93" s="15"/>
      <c r="L93" s="7">
        <f t="shared" si="12"/>
        <v>-31522</v>
      </c>
      <c r="M93" s="8">
        <f t="shared" si="13"/>
        <v>44138.556944444441</v>
      </c>
      <c r="N93" s="8">
        <f t="shared" si="15"/>
        <v>44145.556944444441</v>
      </c>
      <c r="O93" s="9"/>
      <c r="P93" s="61">
        <v>72905</v>
      </c>
      <c r="Q93" s="71"/>
      <c r="R93" s="68"/>
      <c r="S93" s="64">
        <f t="shared" si="18"/>
        <v>21.349999999918509</v>
      </c>
      <c r="T93" s="64">
        <f t="shared" si="19"/>
        <v>21.349999999918509</v>
      </c>
      <c r="U93" s="73">
        <v>780.5</v>
      </c>
      <c r="V93" s="66"/>
      <c r="W93" s="96" t="s">
        <v>69</v>
      </c>
    </row>
    <row r="94" spans="1:23" ht="21" customHeight="1">
      <c r="A94" s="18">
        <v>44130.569444444445</v>
      </c>
      <c r="B94" s="23" t="s">
        <v>31</v>
      </c>
      <c r="C94" s="22" t="s">
        <v>23</v>
      </c>
      <c r="D94" s="29">
        <v>403.5</v>
      </c>
      <c r="E94" s="14"/>
      <c r="F94" s="12">
        <f t="shared" si="14"/>
        <v>0</v>
      </c>
      <c r="G94" s="18">
        <v>44131.569444444445</v>
      </c>
      <c r="H94" s="15" t="str">
        <f t="shared" si="16"/>
        <v>13:40</v>
      </c>
      <c r="I94" s="15">
        <v>44131</v>
      </c>
      <c r="J94" s="20" t="str">
        <f t="shared" si="17"/>
        <v>27/10/20 13:40</v>
      </c>
      <c r="K94" s="15"/>
      <c r="L94" s="7">
        <f t="shared" si="12"/>
        <v>-31522</v>
      </c>
      <c r="M94" s="8">
        <v>44131.569444444445</v>
      </c>
      <c r="N94" s="8">
        <f t="shared" si="15"/>
        <v>44138.569444444445</v>
      </c>
      <c r="O94" s="9"/>
      <c r="P94" s="61">
        <v>72907</v>
      </c>
      <c r="Q94" s="71"/>
      <c r="R94" s="68"/>
      <c r="S94" s="64">
        <f t="shared" si="18"/>
        <v>24</v>
      </c>
      <c r="T94" s="64">
        <f t="shared" si="19"/>
        <v>24</v>
      </c>
      <c r="U94" s="73">
        <v>4035</v>
      </c>
      <c r="V94" s="66"/>
      <c r="W94" s="96" t="s">
        <v>69</v>
      </c>
    </row>
    <row r="95" spans="1:23" ht="21" customHeight="1">
      <c r="A95" s="18">
        <v>44130.684027777781</v>
      </c>
      <c r="B95" s="23" t="s">
        <v>34</v>
      </c>
      <c r="C95" s="28" t="s">
        <v>75</v>
      </c>
      <c r="D95" s="29">
        <v>14.2</v>
      </c>
      <c r="E95" s="14"/>
      <c r="F95" s="12">
        <f t="shared" si="14"/>
        <v>0</v>
      </c>
      <c r="G95" s="18">
        <v>44131.582638888889</v>
      </c>
      <c r="H95" s="15" t="str">
        <f t="shared" si="16"/>
        <v>13:59</v>
      </c>
      <c r="I95" s="15">
        <v>44131</v>
      </c>
      <c r="J95" s="20" t="str">
        <f t="shared" si="17"/>
        <v>27/10/20 13:59</v>
      </c>
      <c r="K95" s="15"/>
      <c r="L95" s="7">
        <f t="shared" ref="L95:L125" si="20">(NETWORKDAYS(K95,G95))*-1</f>
        <v>-31522</v>
      </c>
      <c r="M95" s="8">
        <f t="shared" ref="M95:M125" si="21">G95+7</f>
        <v>44138.582638888889</v>
      </c>
      <c r="N95" s="8">
        <f t="shared" si="15"/>
        <v>44145.582638888889</v>
      </c>
      <c r="O95" s="9"/>
      <c r="P95" s="61">
        <v>72908</v>
      </c>
      <c r="Q95" s="71"/>
      <c r="R95" s="68"/>
      <c r="S95" s="64">
        <f t="shared" si="18"/>
        <v>21.566666666592937</v>
      </c>
      <c r="T95" s="64">
        <f t="shared" si="19"/>
        <v>21.566666666592937</v>
      </c>
      <c r="U95" s="73">
        <v>1420</v>
      </c>
      <c r="V95" s="66"/>
      <c r="W95" s="96" t="s">
        <v>69</v>
      </c>
    </row>
    <row r="96" spans="1:23" ht="21" customHeight="1">
      <c r="A96" s="18">
        <v>44131.440972222219</v>
      </c>
      <c r="B96" s="23" t="s">
        <v>31</v>
      </c>
      <c r="C96" s="22" t="s">
        <v>23</v>
      </c>
      <c r="D96" s="29">
        <v>180.7</v>
      </c>
      <c r="E96" s="14"/>
      <c r="F96" s="12">
        <f t="shared" si="14"/>
        <v>0</v>
      </c>
      <c r="G96" s="18">
        <v>44131.654861111114</v>
      </c>
      <c r="H96" s="15" t="str">
        <f t="shared" si="16"/>
        <v>15:43</v>
      </c>
      <c r="I96" s="15">
        <v>44131</v>
      </c>
      <c r="J96" s="20" t="str">
        <f t="shared" si="17"/>
        <v>27/10/20 15:43</v>
      </c>
      <c r="K96" s="15"/>
      <c r="L96" s="7">
        <f t="shared" si="20"/>
        <v>-31522</v>
      </c>
      <c r="M96" s="8">
        <v>44131.654861111114</v>
      </c>
      <c r="N96" s="8">
        <f t="shared" si="15"/>
        <v>44138.654861111114</v>
      </c>
      <c r="O96" s="9"/>
      <c r="P96" s="61">
        <v>72918</v>
      </c>
      <c r="Q96" s="71"/>
      <c r="R96" s="68"/>
      <c r="S96" s="64">
        <f t="shared" si="18"/>
        <v>5.1333333334769122</v>
      </c>
      <c r="T96" s="64">
        <f t="shared" si="19"/>
        <v>5.1333333334769122</v>
      </c>
      <c r="U96" s="73">
        <v>542.1</v>
      </c>
      <c r="V96" s="66"/>
      <c r="W96" s="96" t="s">
        <v>69</v>
      </c>
    </row>
    <row r="97" spans="1:23" ht="21" customHeight="1">
      <c r="A97" s="18">
        <v>44131.498611111114</v>
      </c>
      <c r="B97" s="23" t="s">
        <v>29</v>
      </c>
      <c r="C97" s="28" t="s">
        <v>21</v>
      </c>
      <c r="D97" s="29">
        <v>255.4</v>
      </c>
      <c r="E97" s="14"/>
      <c r="F97" s="12">
        <f t="shared" si="14"/>
        <v>0</v>
      </c>
      <c r="G97" s="18">
        <v>44132.480555555558</v>
      </c>
      <c r="H97" s="15" t="str">
        <f t="shared" si="16"/>
        <v>11:32</v>
      </c>
      <c r="I97" s="15">
        <v>44132</v>
      </c>
      <c r="J97" s="20" t="str">
        <f t="shared" si="17"/>
        <v>28/10/20 11:32</v>
      </c>
      <c r="K97" s="15"/>
      <c r="L97" s="7">
        <f t="shared" si="20"/>
        <v>-31523</v>
      </c>
      <c r="M97" s="8">
        <f t="shared" si="21"/>
        <v>44139.480555555558</v>
      </c>
      <c r="N97" s="8">
        <f t="shared" si="15"/>
        <v>44146.480555555558</v>
      </c>
      <c r="O97" s="9"/>
      <c r="P97" s="61">
        <v>72947</v>
      </c>
      <c r="Q97" s="71"/>
      <c r="R97" s="68"/>
      <c r="S97" s="64">
        <f t="shared" si="18"/>
        <v>23.566666666651145</v>
      </c>
      <c r="T97" s="64">
        <f t="shared" si="19"/>
        <v>23.566666666651145</v>
      </c>
      <c r="U97" s="73">
        <v>766.2</v>
      </c>
      <c r="V97" s="66"/>
      <c r="W97" s="96" t="s">
        <v>69</v>
      </c>
    </row>
    <row r="98" spans="1:23" ht="21" customHeight="1">
      <c r="A98" s="18">
        <v>44131.73333333333</v>
      </c>
      <c r="B98" s="23" t="s">
        <v>38</v>
      </c>
      <c r="C98" s="28" t="s">
        <v>19</v>
      </c>
      <c r="D98" s="29">
        <v>85.4</v>
      </c>
      <c r="E98" s="14"/>
      <c r="F98" s="12">
        <f t="shared" si="14"/>
        <v>0</v>
      </c>
      <c r="G98" s="18">
        <v>44132.569444444445</v>
      </c>
      <c r="H98" s="15" t="str">
        <f t="shared" si="16"/>
        <v>13:40</v>
      </c>
      <c r="I98" s="15">
        <v>44132</v>
      </c>
      <c r="J98" s="20" t="str">
        <f t="shared" si="17"/>
        <v>28/10/20 13:40</v>
      </c>
      <c r="K98" s="15"/>
      <c r="L98" s="7">
        <f t="shared" si="20"/>
        <v>-31523</v>
      </c>
      <c r="M98" s="8">
        <f t="shared" si="21"/>
        <v>44139.569444444445</v>
      </c>
      <c r="N98" s="8">
        <f t="shared" si="15"/>
        <v>44146.569444444445</v>
      </c>
      <c r="O98" s="9"/>
      <c r="P98" s="61">
        <v>72951</v>
      </c>
      <c r="Q98" s="71"/>
      <c r="R98" s="68"/>
      <c r="S98" s="64">
        <f t="shared" si="18"/>
        <v>20.06666666676756</v>
      </c>
      <c r="T98" s="64">
        <f t="shared" si="19"/>
        <v>20.06666666676756</v>
      </c>
      <c r="U98" s="73">
        <v>8540</v>
      </c>
      <c r="V98" s="66"/>
      <c r="W98" s="96" t="s">
        <v>69</v>
      </c>
    </row>
    <row r="99" spans="1:23" ht="21" customHeight="1">
      <c r="A99" s="18">
        <v>44131.73333333333</v>
      </c>
      <c r="B99" s="23" t="s">
        <v>38</v>
      </c>
      <c r="C99" s="28" t="s">
        <v>19</v>
      </c>
      <c r="D99" s="29">
        <v>128.19999999999999</v>
      </c>
      <c r="E99" s="14"/>
      <c r="F99" s="12">
        <f t="shared" si="14"/>
        <v>0</v>
      </c>
      <c r="G99" s="18">
        <v>44132.569444444445</v>
      </c>
      <c r="H99" s="15" t="str">
        <f t="shared" si="16"/>
        <v>13:40</v>
      </c>
      <c r="I99" s="15">
        <v>44132</v>
      </c>
      <c r="J99" s="20" t="str">
        <f t="shared" si="17"/>
        <v>28/10/20 13:40</v>
      </c>
      <c r="K99" s="15"/>
      <c r="L99" s="7">
        <f t="shared" si="20"/>
        <v>-31523</v>
      </c>
      <c r="M99" s="8">
        <f t="shared" si="21"/>
        <v>44139.569444444445</v>
      </c>
      <c r="N99" s="8">
        <f t="shared" si="15"/>
        <v>44146.569444444445</v>
      </c>
      <c r="O99" s="9"/>
      <c r="P99" s="61">
        <v>72953</v>
      </c>
      <c r="Q99" s="71"/>
      <c r="R99" s="68"/>
      <c r="S99" s="64">
        <f t="shared" si="18"/>
        <v>20.06666666676756</v>
      </c>
      <c r="T99" s="64">
        <f t="shared" si="19"/>
        <v>20.06666666676756</v>
      </c>
      <c r="U99" s="73">
        <v>2435</v>
      </c>
      <c r="V99" s="66"/>
      <c r="W99" s="96" t="s">
        <v>69</v>
      </c>
    </row>
    <row r="100" spans="1:23" ht="21" customHeight="1">
      <c r="A100" s="18">
        <v>44131.73333333333</v>
      </c>
      <c r="B100" s="23" t="s">
        <v>38</v>
      </c>
      <c r="C100" s="28" t="s">
        <v>19</v>
      </c>
      <c r="D100" s="29">
        <v>120.9</v>
      </c>
      <c r="E100" s="14"/>
      <c r="F100" s="12">
        <f t="shared" ref="F100:F125" si="22">IFERROR((D100/E100),"1")-1</f>
        <v>0</v>
      </c>
      <c r="G100" s="18">
        <v>44132.569444444445</v>
      </c>
      <c r="H100" s="15" t="str">
        <f t="shared" si="16"/>
        <v>13:40</v>
      </c>
      <c r="I100" s="15">
        <v>44132</v>
      </c>
      <c r="J100" s="20" t="str">
        <f t="shared" si="17"/>
        <v>28/10/20 13:40</v>
      </c>
      <c r="K100" s="15"/>
      <c r="L100" s="7">
        <f t="shared" si="20"/>
        <v>-31523</v>
      </c>
      <c r="M100" s="8">
        <f t="shared" si="21"/>
        <v>44139.569444444445</v>
      </c>
      <c r="N100" s="8">
        <f t="shared" ref="N100:N125" si="23">M100+7</f>
        <v>44146.569444444445</v>
      </c>
      <c r="O100" s="9"/>
      <c r="P100" s="61">
        <v>72956</v>
      </c>
      <c r="Q100" s="71"/>
      <c r="R100" s="68"/>
      <c r="S100" s="64">
        <f t="shared" si="18"/>
        <v>20.06666666676756</v>
      </c>
      <c r="T100" s="64">
        <f t="shared" si="19"/>
        <v>20.06666666676756</v>
      </c>
      <c r="U100" s="73">
        <v>2297</v>
      </c>
      <c r="V100" s="66"/>
      <c r="W100" s="96" t="s">
        <v>69</v>
      </c>
    </row>
    <row r="101" spans="1:23" ht="21" customHeight="1">
      <c r="A101" s="18">
        <v>44131.572916666664</v>
      </c>
      <c r="B101" s="23" t="s">
        <v>32</v>
      </c>
      <c r="C101" s="28" t="s">
        <v>33</v>
      </c>
      <c r="D101" s="29">
        <v>123.4</v>
      </c>
      <c r="E101" s="14"/>
      <c r="F101" s="12">
        <f t="shared" si="22"/>
        <v>0</v>
      </c>
      <c r="G101" s="18">
        <v>44132.679861111108</v>
      </c>
      <c r="H101" s="15" t="str">
        <f t="shared" si="16"/>
        <v>16:19</v>
      </c>
      <c r="I101" s="15">
        <v>44132</v>
      </c>
      <c r="J101" s="20" t="str">
        <f t="shared" si="17"/>
        <v>28/10/20 16:19</v>
      </c>
      <c r="K101" s="15"/>
      <c r="L101" s="7">
        <f t="shared" si="20"/>
        <v>-31523</v>
      </c>
      <c r="M101" s="8">
        <v>44132.679861111108</v>
      </c>
      <c r="N101" s="8">
        <f t="shared" si="23"/>
        <v>44139.679861111108</v>
      </c>
      <c r="O101" s="9"/>
      <c r="P101" s="61">
        <v>72963</v>
      </c>
      <c r="Q101" s="71"/>
      <c r="R101" s="68"/>
      <c r="S101" s="64">
        <f t="shared" si="18"/>
        <v>26.566666666651145</v>
      </c>
      <c r="T101" s="64">
        <f t="shared" si="19"/>
        <v>26.566666666651145</v>
      </c>
      <c r="U101" s="73">
        <v>1234</v>
      </c>
      <c r="V101" s="66"/>
      <c r="W101" s="96" t="s">
        <v>69</v>
      </c>
    </row>
    <row r="102" spans="1:23" ht="21" customHeight="1">
      <c r="A102" s="18">
        <v>44131.572916666664</v>
      </c>
      <c r="B102" s="23" t="s">
        <v>32</v>
      </c>
      <c r="C102" s="28" t="s">
        <v>33</v>
      </c>
      <c r="D102" s="29">
        <v>119.3</v>
      </c>
      <c r="E102" s="14"/>
      <c r="F102" s="12">
        <f t="shared" si="22"/>
        <v>0</v>
      </c>
      <c r="G102" s="18">
        <v>44132.679861111108</v>
      </c>
      <c r="H102" s="15" t="str">
        <f t="shared" si="16"/>
        <v>16:19</v>
      </c>
      <c r="I102" s="15">
        <v>44132</v>
      </c>
      <c r="J102" s="20" t="str">
        <f t="shared" si="17"/>
        <v>28/10/20 16:19</v>
      </c>
      <c r="K102" s="15"/>
      <c r="L102" s="7">
        <f t="shared" si="20"/>
        <v>-31523</v>
      </c>
      <c r="M102" s="8">
        <v>44132.679861111108</v>
      </c>
      <c r="N102" s="8">
        <f t="shared" si="23"/>
        <v>44139.679861111108</v>
      </c>
      <c r="O102" s="9"/>
      <c r="P102" s="61">
        <v>72964</v>
      </c>
      <c r="Q102" s="71"/>
      <c r="R102" s="68"/>
      <c r="S102" s="64">
        <f t="shared" si="18"/>
        <v>26.566666666651145</v>
      </c>
      <c r="T102" s="64">
        <f t="shared" si="19"/>
        <v>26.566666666651145</v>
      </c>
      <c r="U102" s="73">
        <v>1193</v>
      </c>
      <c r="V102" s="66"/>
      <c r="W102" s="96" t="s">
        <v>69</v>
      </c>
    </row>
    <row r="103" spans="1:23" ht="21" customHeight="1">
      <c r="A103" s="18">
        <v>44132.409722222219</v>
      </c>
      <c r="B103" s="23" t="s">
        <v>50</v>
      </c>
      <c r="C103" s="28" t="s">
        <v>48</v>
      </c>
      <c r="D103" s="29">
        <v>184.8</v>
      </c>
      <c r="E103" s="14"/>
      <c r="F103" s="12">
        <f t="shared" si="22"/>
        <v>0</v>
      </c>
      <c r="G103" s="18">
        <v>44133.305555555555</v>
      </c>
      <c r="H103" s="15" t="str">
        <f t="shared" si="16"/>
        <v>07:20</v>
      </c>
      <c r="I103" s="15">
        <v>44133</v>
      </c>
      <c r="J103" s="20" t="str">
        <f t="shared" si="17"/>
        <v>29/10/20 07:20</v>
      </c>
      <c r="K103" s="15"/>
      <c r="L103" s="7">
        <f t="shared" si="20"/>
        <v>-31524</v>
      </c>
      <c r="M103" s="8">
        <f t="shared" si="21"/>
        <v>44140.305555555555</v>
      </c>
      <c r="N103" s="8">
        <f t="shared" si="23"/>
        <v>44147.305555555555</v>
      </c>
      <c r="O103" s="9"/>
      <c r="P103" s="61">
        <v>72965</v>
      </c>
      <c r="Q103" s="71"/>
      <c r="R103" s="68"/>
      <c r="S103" s="64">
        <f t="shared" si="18"/>
        <v>21.500000000058208</v>
      </c>
      <c r="T103" s="64">
        <f t="shared" si="19"/>
        <v>21.500000000058208</v>
      </c>
      <c r="U103" s="73">
        <v>554.4</v>
      </c>
      <c r="V103" s="66"/>
      <c r="W103" s="96" t="s">
        <v>69</v>
      </c>
    </row>
    <row r="104" spans="1:23" ht="21" customHeight="1">
      <c r="A104" s="18">
        <v>44132.409722222219</v>
      </c>
      <c r="B104" s="23" t="s">
        <v>50</v>
      </c>
      <c r="C104" s="28" t="s">
        <v>48</v>
      </c>
      <c r="D104" s="29">
        <v>194</v>
      </c>
      <c r="E104" s="14"/>
      <c r="F104" s="12">
        <f t="shared" si="22"/>
        <v>0</v>
      </c>
      <c r="G104" s="18">
        <v>44133.305555555555</v>
      </c>
      <c r="H104" s="15" t="str">
        <f t="shared" si="16"/>
        <v>07:20</v>
      </c>
      <c r="I104" s="15">
        <v>44133</v>
      </c>
      <c r="J104" s="20" t="str">
        <f t="shared" si="17"/>
        <v>29/10/20 07:20</v>
      </c>
      <c r="K104" s="15"/>
      <c r="L104" s="7">
        <f t="shared" si="20"/>
        <v>-31524</v>
      </c>
      <c r="M104" s="8">
        <f t="shared" si="21"/>
        <v>44140.305555555555</v>
      </c>
      <c r="N104" s="8">
        <f t="shared" si="23"/>
        <v>44147.305555555555</v>
      </c>
      <c r="O104" s="9"/>
      <c r="P104" s="61">
        <v>72966</v>
      </c>
      <c r="Q104" s="71"/>
      <c r="R104" s="68"/>
      <c r="S104" s="64">
        <f t="shared" si="18"/>
        <v>21.500000000058208</v>
      </c>
      <c r="T104" s="64">
        <f t="shared" si="19"/>
        <v>21.500000000058208</v>
      </c>
      <c r="U104" s="73">
        <v>582</v>
      </c>
      <c r="V104" s="66"/>
      <c r="W104" s="96" t="s">
        <v>69</v>
      </c>
    </row>
    <row r="105" spans="1:23" ht="21" customHeight="1">
      <c r="A105" s="18">
        <v>44132.409722222219</v>
      </c>
      <c r="B105" s="23" t="s">
        <v>50</v>
      </c>
      <c r="C105" s="28" t="s">
        <v>48</v>
      </c>
      <c r="D105" s="29">
        <v>474.1</v>
      </c>
      <c r="E105" s="14"/>
      <c r="F105" s="12">
        <f t="shared" si="22"/>
        <v>0</v>
      </c>
      <c r="G105" s="18">
        <v>44133.305555555555</v>
      </c>
      <c r="H105" s="15" t="str">
        <f t="shared" si="16"/>
        <v>07:20</v>
      </c>
      <c r="I105" s="15">
        <v>44133</v>
      </c>
      <c r="J105" s="20" t="str">
        <f t="shared" si="17"/>
        <v>29/10/20 07:20</v>
      </c>
      <c r="K105" s="15"/>
      <c r="L105" s="7">
        <f t="shared" si="20"/>
        <v>-31524</v>
      </c>
      <c r="M105" s="8">
        <f t="shared" si="21"/>
        <v>44140.305555555555</v>
      </c>
      <c r="N105" s="8">
        <f t="shared" si="23"/>
        <v>44147.305555555555</v>
      </c>
      <c r="O105" s="9"/>
      <c r="P105" s="61">
        <v>72968</v>
      </c>
      <c r="Q105" s="71"/>
      <c r="R105" s="68"/>
      <c r="S105" s="64">
        <f t="shared" si="18"/>
        <v>21.500000000058208</v>
      </c>
      <c r="T105" s="64">
        <f t="shared" si="19"/>
        <v>21.500000000058208</v>
      </c>
      <c r="U105" s="73">
        <v>474.1</v>
      </c>
      <c r="V105" s="66"/>
      <c r="W105" s="96" t="s">
        <v>69</v>
      </c>
    </row>
    <row r="106" spans="1:23" ht="21" customHeight="1">
      <c r="A106" s="18">
        <v>44132.439583333333</v>
      </c>
      <c r="B106" s="23" t="s">
        <v>38</v>
      </c>
      <c r="C106" s="28" t="s">
        <v>19</v>
      </c>
      <c r="D106" s="29">
        <v>69.8</v>
      </c>
      <c r="E106" s="14"/>
      <c r="F106" s="12">
        <f t="shared" si="22"/>
        <v>0</v>
      </c>
      <c r="G106" s="18">
        <v>44133.348611111112</v>
      </c>
      <c r="H106" s="15" t="str">
        <f t="shared" si="16"/>
        <v>08:22</v>
      </c>
      <c r="I106" s="15">
        <v>44133</v>
      </c>
      <c r="J106" s="20" t="str">
        <f t="shared" si="17"/>
        <v>29/10/20 08:22</v>
      </c>
      <c r="K106" s="15"/>
      <c r="L106" s="7">
        <f t="shared" si="20"/>
        <v>-31524</v>
      </c>
      <c r="M106" s="8">
        <f t="shared" si="21"/>
        <v>44140.348611111112</v>
      </c>
      <c r="N106" s="8">
        <f t="shared" si="23"/>
        <v>44147.348611111112</v>
      </c>
      <c r="O106" s="9"/>
      <c r="P106" s="61">
        <v>72970</v>
      </c>
      <c r="Q106" s="71"/>
      <c r="R106" s="68"/>
      <c r="S106" s="64">
        <f t="shared" si="18"/>
        <v>21.816666666709352</v>
      </c>
      <c r="T106" s="64">
        <f t="shared" si="19"/>
        <v>21.816666666709352</v>
      </c>
      <c r="U106" s="73">
        <v>2094</v>
      </c>
      <c r="V106" s="66"/>
      <c r="W106" s="96" t="s">
        <v>69</v>
      </c>
    </row>
    <row r="107" spans="1:23" ht="21" customHeight="1">
      <c r="A107" s="18">
        <v>44132.675694444442</v>
      </c>
      <c r="B107" s="23" t="s">
        <v>43</v>
      </c>
      <c r="C107" s="28" t="s">
        <v>19</v>
      </c>
      <c r="D107" s="29">
        <v>96</v>
      </c>
      <c r="E107" s="14"/>
      <c r="F107" s="12">
        <f t="shared" si="22"/>
        <v>0</v>
      </c>
      <c r="G107" s="18">
        <v>44133.671527777777</v>
      </c>
      <c r="H107" s="15" t="str">
        <f t="shared" si="16"/>
        <v>16:07</v>
      </c>
      <c r="I107" s="15">
        <v>44133</v>
      </c>
      <c r="J107" s="20" t="str">
        <f t="shared" si="17"/>
        <v>29/10/20 16:07</v>
      </c>
      <c r="K107" s="15"/>
      <c r="L107" s="7">
        <f t="shared" si="20"/>
        <v>-31524</v>
      </c>
      <c r="M107" s="8">
        <f t="shared" si="21"/>
        <v>44140.671527777777</v>
      </c>
      <c r="N107" s="8">
        <f t="shared" si="23"/>
        <v>44147.671527777777</v>
      </c>
      <c r="O107" s="9"/>
      <c r="P107" s="61">
        <v>72979</v>
      </c>
      <c r="Q107" s="71"/>
      <c r="R107" s="68"/>
      <c r="S107" s="64">
        <f t="shared" si="18"/>
        <v>23.900000000023283</v>
      </c>
      <c r="T107" s="64">
        <f t="shared" si="19"/>
        <v>23.900000000023283</v>
      </c>
      <c r="U107" s="73">
        <v>960</v>
      </c>
      <c r="V107" s="66"/>
      <c r="W107" s="96" t="s">
        <v>69</v>
      </c>
    </row>
    <row r="108" spans="1:23" ht="21" customHeight="1">
      <c r="A108" s="18">
        <v>44132.713888888888</v>
      </c>
      <c r="B108" s="23" t="s">
        <v>39</v>
      </c>
      <c r="C108" s="28" t="s">
        <v>19</v>
      </c>
      <c r="D108" s="29">
        <v>223</v>
      </c>
      <c r="E108" s="14"/>
      <c r="F108" s="12">
        <f t="shared" si="22"/>
        <v>0</v>
      </c>
      <c r="G108" s="18">
        <v>44133.679166666669</v>
      </c>
      <c r="H108" s="15" t="str">
        <f t="shared" si="16"/>
        <v>16:18</v>
      </c>
      <c r="I108" s="15">
        <v>44133</v>
      </c>
      <c r="J108" s="20" t="str">
        <f t="shared" si="17"/>
        <v>29/10/20 16:18</v>
      </c>
      <c r="K108" s="15"/>
      <c r="L108" s="7">
        <f t="shared" si="20"/>
        <v>-31524</v>
      </c>
      <c r="M108" s="8">
        <f t="shared" si="21"/>
        <v>44140.679166666669</v>
      </c>
      <c r="N108" s="8">
        <f t="shared" si="23"/>
        <v>44147.679166666669</v>
      </c>
      <c r="O108" s="9"/>
      <c r="P108" s="61">
        <v>72980</v>
      </c>
      <c r="Q108" s="71"/>
      <c r="R108" s="68"/>
      <c r="S108" s="64">
        <f t="shared" si="18"/>
        <v>23.166666666744277</v>
      </c>
      <c r="T108" s="64">
        <f t="shared" si="19"/>
        <v>23.166666666744277</v>
      </c>
      <c r="U108" s="73">
        <v>6690</v>
      </c>
      <c r="V108" s="66"/>
      <c r="W108" s="96" t="s">
        <v>69</v>
      </c>
    </row>
    <row r="109" spans="1:23" ht="21" customHeight="1">
      <c r="A109" s="18">
        <v>44133.486111111109</v>
      </c>
      <c r="B109" s="23" t="s">
        <v>38</v>
      </c>
      <c r="C109" s="28" t="s">
        <v>19</v>
      </c>
      <c r="D109" s="29">
        <v>106.2</v>
      </c>
      <c r="E109" s="14"/>
      <c r="F109" s="12">
        <f t="shared" si="22"/>
        <v>0</v>
      </c>
      <c r="G109" s="18">
        <v>44134.46597222222</v>
      </c>
      <c r="H109" s="15" t="str">
        <f t="shared" si="16"/>
        <v>11:11</v>
      </c>
      <c r="I109" s="15">
        <v>44134</v>
      </c>
      <c r="J109" s="20" t="str">
        <f t="shared" si="17"/>
        <v>30/10/20 11:11</v>
      </c>
      <c r="K109" s="15"/>
      <c r="L109" s="7">
        <f t="shared" si="20"/>
        <v>-31525</v>
      </c>
      <c r="M109" s="8">
        <f t="shared" si="21"/>
        <v>44141.46597222222</v>
      </c>
      <c r="N109" s="8">
        <f t="shared" si="23"/>
        <v>44148.46597222222</v>
      </c>
      <c r="O109" s="9"/>
      <c r="P109" s="61">
        <v>72987</v>
      </c>
      <c r="Q109" s="71"/>
      <c r="R109" s="68"/>
      <c r="S109" s="64">
        <f t="shared" si="18"/>
        <v>23.516666666662786</v>
      </c>
      <c r="T109" s="64">
        <f t="shared" si="19"/>
        <v>23.516666666662786</v>
      </c>
      <c r="U109" s="73">
        <v>5310</v>
      </c>
      <c r="V109" s="66"/>
      <c r="W109" s="96" t="s">
        <v>69</v>
      </c>
    </row>
    <row r="110" spans="1:23" ht="21" customHeight="1">
      <c r="A110" s="18">
        <v>44133.486111111109</v>
      </c>
      <c r="B110" s="23" t="s">
        <v>38</v>
      </c>
      <c r="C110" s="28" t="s">
        <v>19</v>
      </c>
      <c r="D110" s="29">
        <v>75.2</v>
      </c>
      <c r="E110" s="14"/>
      <c r="F110" s="12">
        <f t="shared" si="22"/>
        <v>0</v>
      </c>
      <c r="G110" s="18">
        <v>44134.46597222222</v>
      </c>
      <c r="H110" s="15" t="str">
        <f t="shared" si="16"/>
        <v>11:11</v>
      </c>
      <c r="I110" s="15">
        <v>44134</v>
      </c>
      <c r="J110" s="20" t="str">
        <f t="shared" si="17"/>
        <v>30/10/20 11:11</v>
      </c>
      <c r="K110" s="15"/>
      <c r="L110" s="7">
        <f t="shared" si="20"/>
        <v>-31525</v>
      </c>
      <c r="M110" s="8">
        <f t="shared" si="21"/>
        <v>44141.46597222222</v>
      </c>
      <c r="N110" s="8">
        <f t="shared" si="23"/>
        <v>44148.46597222222</v>
      </c>
      <c r="O110" s="9"/>
      <c r="P110" s="61">
        <v>72991</v>
      </c>
      <c r="Q110" s="71"/>
      <c r="R110" s="68"/>
      <c r="S110" s="64">
        <f t="shared" si="18"/>
        <v>23.516666666662786</v>
      </c>
      <c r="T110" s="64">
        <f t="shared" si="19"/>
        <v>23.516666666662786</v>
      </c>
      <c r="U110" s="73">
        <v>3760</v>
      </c>
      <c r="V110" s="66"/>
      <c r="W110" s="96" t="s">
        <v>69</v>
      </c>
    </row>
    <row r="111" spans="1:23" ht="21" customHeight="1">
      <c r="A111" s="18">
        <v>44134.47152777778</v>
      </c>
      <c r="B111" s="23" t="s">
        <v>24</v>
      </c>
      <c r="C111" s="28" t="s">
        <v>25</v>
      </c>
      <c r="D111" s="29">
        <v>130</v>
      </c>
      <c r="E111" s="14"/>
      <c r="F111" s="12">
        <f t="shared" si="22"/>
        <v>0</v>
      </c>
      <c r="G111" s="18">
        <v>44134.490277777775</v>
      </c>
      <c r="H111" s="15" t="str">
        <f t="shared" si="16"/>
        <v>11:46</v>
      </c>
      <c r="I111" s="15">
        <v>44134</v>
      </c>
      <c r="J111" s="20" t="str">
        <f t="shared" si="17"/>
        <v>30/10/20 11:46</v>
      </c>
      <c r="K111" s="15"/>
      <c r="L111" s="7">
        <f t="shared" si="20"/>
        <v>-31525</v>
      </c>
      <c r="M111" s="8">
        <v>44134.490277777775</v>
      </c>
      <c r="N111" s="8">
        <f t="shared" si="23"/>
        <v>44141.490277777775</v>
      </c>
      <c r="O111" s="9"/>
      <c r="P111" s="61">
        <v>72993</v>
      </c>
      <c r="Q111" s="71"/>
      <c r="R111" s="68"/>
      <c r="S111" s="64">
        <f t="shared" si="18"/>
        <v>0.44999999989522621</v>
      </c>
      <c r="T111" s="64">
        <f t="shared" si="19"/>
        <v>0.44999999989522621</v>
      </c>
      <c r="U111" s="73">
        <v>6500</v>
      </c>
      <c r="V111" s="66"/>
      <c r="W111" s="96" t="s">
        <v>69</v>
      </c>
    </row>
    <row r="112" spans="1:23" ht="21" customHeight="1">
      <c r="A112" s="18">
        <v>44134.456250000003</v>
      </c>
      <c r="B112" s="23" t="s">
        <v>70</v>
      </c>
      <c r="C112" s="28" t="s">
        <v>71</v>
      </c>
      <c r="D112" s="29">
        <v>128.69999999999999</v>
      </c>
      <c r="E112" s="14"/>
      <c r="F112" s="12">
        <f t="shared" si="22"/>
        <v>0</v>
      </c>
      <c r="G112" s="18">
        <v>44134.484722222223</v>
      </c>
      <c r="H112" s="15" t="str">
        <f t="shared" si="16"/>
        <v>11:38</v>
      </c>
      <c r="I112" s="15">
        <v>44134</v>
      </c>
      <c r="J112" s="20" t="str">
        <f t="shared" si="17"/>
        <v>30/10/20 11:38</v>
      </c>
      <c r="K112" s="15"/>
      <c r="L112" s="7">
        <f t="shared" si="20"/>
        <v>-31525</v>
      </c>
      <c r="M112" s="8">
        <v>44134.484722222223</v>
      </c>
      <c r="N112" s="8">
        <f t="shared" si="23"/>
        <v>44141.484722222223</v>
      </c>
      <c r="O112" s="9"/>
      <c r="P112" s="61">
        <v>72995</v>
      </c>
      <c r="Q112" s="71"/>
      <c r="R112" s="68"/>
      <c r="S112" s="64">
        <f t="shared" si="18"/>
        <v>0.68333333329064772</v>
      </c>
      <c r="T112" s="64">
        <f t="shared" si="19"/>
        <v>0.68333333329064772</v>
      </c>
      <c r="U112" s="73">
        <v>1287</v>
      </c>
      <c r="V112" s="66"/>
      <c r="W112" s="96" t="s">
        <v>69</v>
      </c>
    </row>
    <row r="113" spans="1:23" ht="21" customHeight="1">
      <c r="A113" s="18"/>
      <c r="B113" s="23"/>
      <c r="C113" s="28"/>
      <c r="D113" s="29"/>
      <c r="E113" s="14"/>
      <c r="F113" s="12">
        <f t="shared" si="22"/>
        <v>0</v>
      </c>
      <c r="G113" s="18"/>
      <c r="H113" s="15" t="str">
        <f t="shared" si="16"/>
        <v>00:00</v>
      </c>
      <c r="I113" s="15"/>
      <c r="J113" s="20" t="str">
        <f t="shared" si="17"/>
        <v>00/01/00 00:00</v>
      </c>
      <c r="K113" s="15"/>
      <c r="L113" s="7">
        <f t="shared" si="20"/>
        <v>0</v>
      </c>
      <c r="M113" s="8">
        <f t="shared" si="21"/>
        <v>7</v>
      </c>
      <c r="N113" s="8">
        <f t="shared" si="23"/>
        <v>14</v>
      </c>
      <c r="O113" s="9"/>
      <c r="P113" s="61"/>
      <c r="Q113" s="71"/>
      <c r="R113" s="68"/>
      <c r="S113" s="64" t="str">
        <f t="shared" si="18"/>
        <v/>
      </c>
      <c r="T113" s="64" t="str">
        <f t="shared" si="19"/>
        <v/>
      </c>
      <c r="U113" s="73"/>
      <c r="V113" s="66"/>
      <c r="W113" s="96" t="s">
        <v>69</v>
      </c>
    </row>
    <row r="114" spans="1:23" ht="21" customHeight="1">
      <c r="A114" s="18"/>
      <c r="B114" s="23"/>
      <c r="C114" s="28"/>
      <c r="D114" s="29"/>
      <c r="E114" s="14"/>
      <c r="F114" s="12">
        <f t="shared" si="22"/>
        <v>0</v>
      </c>
      <c r="G114" s="18"/>
      <c r="H114" s="15" t="str">
        <f t="shared" si="16"/>
        <v>00:00</v>
      </c>
      <c r="I114" s="15"/>
      <c r="J114" s="20" t="str">
        <f t="shared" si="17"/>
        <v>00/01/00 00:00</v>
      </c>
      <c r="K114" s="15"/>
      <c r="L114" s="7">
        <f t="shared" si="20"/>
        <v>0</v>
      </c>
      <c r="M114" s="8">
        <f t="shared" si="21"/>
        <v>7</v>
      </c>
      <c r="N114" s="8">
        <f t="shared" si="23"/>
        <v>14</v>
      </c>
      <c r="O114" s="9"/>
      <c r="P114" s="61"/>
      <c r="Q114" s="71"/>
      <c r="R114" s="68"/>
      <c r="S114" s="64" t="str">
        <f t="shared" si="18"/>
        <v/>
      </c>
      <c r="T114" s="64" t="str">
        <f t="shared" si="19"/>
        <v/>
      </c>
      <c r="U114" s="73"/>
      <c r="V114" s="66"/>
      <c r="W114" s="96" t="s">
        <v>69</v>
      </c>
    </row>
    <row r="115" spans="1:23" ht="21" customHeight="1">
      <c r="A115" s="18"/>
      <c r="B115" s="23"/>
      <c r="C115" s="28"/>
      <c r="D115" s="29"/>
      <c r="E115" s="14"/>
      <c r="F115" s="12">
        <f t="shared" si="22"/>
        <v>0</v>
      </c>
      <c r="G115" s="18"/>
      <c r="H115" s="15" t="str">
        <f t="shared" si="16"/>
        <v>00:00</v>
      </c>
      <c r="I115" s="15"/>
      <c r="J115" s="20" t="str">
        <f t="shared" si="17"/>
        <v>00/01/00 00:00</v>
      </c>
      <c r="K115" s="15"/>
      <c r="L115" s="7">
        <f t="shared" si="20"/>
        <v>0</v>
      </c>
      <c r="M115" s="8">
        <f t="shared" si="21"/>
        <v>7</v>
      </c>
      <c r="N115" s="8">
        <f t="shared" si="23"/>
        <v>14</v>
      </c>
      <c r="O115" s="9"/>
      <c r="P115" s="61"/>
      <c r="Q115" s="71"/>
      <c r="R115" s="68"/>
      <c r="S115" s="64" t="str">
        <f t="shared" si="18"/>
        <v/>
      </c>
      <c r="T115" s="64" t="str">
        <f t="shared" si="19"/>
        <v/>
      </c>
      <c r="U115" s="73"/>
      <c r="V115" s="66"/>
      <c r="W115" s="96" t="s">
        <v>69</v>
      </c>
    </row>
    <row r="116" spans="1:23" ht="21" customHeight="1">
      <c r="A116" s="18"/>
      <c r="B116" s="23"/>
      <c r="C116" s="28"/>
      <c r="D116" s="29"/>
      <c r="E116" s="14"/>
      <c r="F116" s="12">
        <f t="shared" si="22"/>
        <v>0</v>
      </c>
      <c r="G116" s="18"/>
      <c r="H116" s="15" t="str">
        <f t="shared" si="16"/>
        <v>00:00</v>
      </c>
      <c r="I116" s="15"/>
      <c r="J116" s="20" t="str">
        <f t="shared" si="17"/>
        <v>00/01/00 00:00</v>
      </c>
      <c r="K116" s="15"/>
      <c r="L116" s="7">
        <f t="shared" si="20"/>
        <v>0</v>
      </c>
      <c r="M116" s="8">
        <f t="shared" si="21"/>
        <v>7</v>
      </c>
      <c r="N116" s="8">
        <f t="shared" si="23"/>
        <v>14</v>
      </c>
      <c r="O116" s="9"/>
      <c r="P116" s="61"/>
      <c r="Q116" s="71"/>
      <c r="R116" s="68"/>
      <c r="S116" s="64" t="str">
        <f t="shared" si="18"/>
        <v/>
      </c>
      <c r="T116" s="64" t="str">
        <f t="shared" si="19"/>
        <v/>
      </c>
      <c r="U116" s="73"/>
      <c r="V116" s="66"/>
      <c r="W116" s="96" t="s">
        <v>69</v>
      </c>
    </row>
    <row r="117" spans="1:23" ht="21" customHeight="1">
      <c r="A117" s="18"/>
      <c r="B117" s="23"/>
      <c r="C117" s="28"/>
      <c r="D117" s="29"/>
      <c r="E117" s="14"/>
      <c r="F117" s="12">
        <f t="shared" si="22"/>
        <v>0</v>
      </c>
      <c r="G117" s="18"/>
      <c r="H117" s="15" t="str">
        <f t="shared" si="16"/>
        <v>00:00</v>
      </c>
      <c r="I117" s="15"/>
      <c r="J117" s="20" t="str">
        <f t="shared" si="17"/>
        <v>00/01/00 00:00</v>
      </c>
      <c r="K117" s="15"/>
      <c r="L117" s="7">
        <f t="shared" si="20"/>
        <v>0</v>
      </c>
      <c r="M117" s="8">
        <f t="shared" si="21"/>
        <v>7</v>
      </c>
      <c r="N117" s="8">
        <f t="shared" si="23"/>
        <v>14</v>
      </c>
      <c r="O117" s="9"/>
      <c r="P117" s="61"/>
      <c r="Q117" s="71"/>
      <c r="R117" s="68"/>
      <c r="S117" s="64" t="str">
        <f t="shared" si="18"/>
        <v/>
      </c>
      <c r="T117" s="64" t="str">
        <f t="shared" si="19"/>
        <v/>
      </c>
      <c r="U117" s="73"/>
      <c r="V117" s="66"/>
      <c r="W117" s="96" t="s">
        <v>69</v>
      </c>
    </row>
    <row r="118" spans="1:23" ht="21" customHeight="1">
      <c r="A118" s="18"/>
      <c r="B118" s="23"/>
      <c r="C118" s="28"/>
      <c r="D118" s="29"/>
      <c r="E118" s="14"/>
      <c r="F118" s="12">
        <f t="shared" si="22"/>
        <v>0</v>
      </c>
      <c r="G118" s="18"/>
      <c r="H118" s="15" t="str">
        <f t="shared" si="16"/>
        <v>00:00</v>
      </c>
      <c r="I118" s="4"/>
      <c r="J118" s="20" t="str">
        <f t="shared" si="17"/>
        <v>00/01/00 00:00</v>
      </c>
      <c r="K118" s="4"/>
      <c r="L118" s="7">
        <f t="shared" si="20"/>
        <v>0</v>
      </c>
      <c r="M118" s="8">
        <f t="shared" si="21"/>
        <v>7</v>
      </c>
      <c r="N118" s="8">
        <f t="shared" si="23"/>
        <v>14</v>
      </c>
      <c r="O118" s="9"/>
      <c r="P118" s="61"/>
      <c r="Q118" s="71"/>
      <c r="R118" s="68"/>
      <c r="S118" s="64" t="str">
        <f t="shared" si="18"/>
        <v/>
      </c>
      <c r="T118" s="64" t="str">
        <f t="shared" si="19"/>
        <v/>
      </c>
      <c r="U118" s="73"/>
      <c r="V118" s="66"/>
      <c r="W118" s="96" t="s">
        <v>69</v>
      </c>
    </row>
    <row r="119" spans="1:23" ht="21" customHeight="1">
      <c r="A119" s="18"/>
      <c r="B119" s="23"/>
      <c r="C119" s="28"/>
      <c r="D119" s="29"/>
      <c r="E119" s="14"/>
      <c r="F119" s="12">
        <f t="shared" si="22"/>
        <v>0</v>
      </c>
      <c r="G119" s="86"/>
      <c r="H119" s="87" t="str">
        <f t="shared" si="16"/>
        <v>00:00</v>
      </c>
      <c r="I119" s="60"/>
      <c r="J119" s="77" t="str">
        <f t="shared" si="17"/>
        <v>00/01/00 00:00</v>
      </c>
      <c r="K119" s="60"/>
      <c r="L119" s="78">
        <f t="shared" si="20"/>
        <v>0</v>
      </c>
      <c r="M119" s="79">
        <f t="shared" si="21"/>
        <v>7</v>
      </c>
      <c r="N119" s="79">
        <f t="shared" si="23"/>
        <v>14</v>
      </c>
      <c r="O119" s="9"/>
      <c r="P119" s="61"/>
      <c r="Q119" s="71"/>
      <c r="R119" s="68"/>
      <c r="S119" s="64" t="str">
        <f t="shared" si="18"/>
        <v/>
      </c>
      <c r="T119" s="64" t="str">
        <f t="shared" si="19"/>
        <v/>
      </c>
      <c r="U119" s="73"/>
      <c r="V119" s="66"/>
      <c r="W119" s="96" t="s">
        <v>69</v>
      </c>
    </row>
    <row r="120" spans="1:23" ht="21" customHeight="1">
      <c r="A120" s="18"/>
      <c r="B120" s="23"/>
      <c r="C120" s="28"/>
      <c r="D120" s="29"/>
      <c r="E120" s="14"/>
      <c r="F120" s="82">
        <f t="shared" si="22"/>
        <v>0</v>
      </c>
      <c r="G120" s="89"/>
      <c r="H120" s="90" t="str">
        <f t="shared" si="16"/>
        <v>00:00</v>
      </c>
      <c r="I120" s="68"/>
      <c r="J120" s="91" t="str">
        <f t="shared" si="17"/>
        <v>00/01/00 00:00</v>
      </c>
      <c r="K120" s="68"/>
      <c r="L120" s="92">
        <f>(NETWORKDAYS(K120,G120))*-1</f>
        <v>0</v>
      </c>
      <c r="M120" s="93">
        <f t="shared" si="21"/>
        <v>7</v>
      </c>
      <c r="N120" s="93">
        <f t="shared" si="23"/>
        <v>14</v>
      </c>
      <c r="O120" s="83"/>
      <c r="P120" s="61"/>
      <c r="Q120" s="71"/>
      <c r="R120" s="68"/>
      <c r="S120" s="64" t="str">
        <f t="shared" si="18"/>
        <v/>
      </c>
      <c r="T120" s="64" t="str">
        <f t="shared" si="19"/>
        <v/>
      </c>
      <c r="U120" s="73"/>
      <c r="V120" s="66"/>
      <c r="W120" s="96" t="s">
        <v>69</v>
      </c>
    </row>
    <row r="121" spans="1:23" ht="21" customHeight="1">
      <c r="A121" s="18"/>
      <c r="B121" s="23"/>
      <c r="C121" s="28"/>
      <c r="D121" s="29"/>
      <c r="E121" s="14"/>
      <c r="F121" s="82">
        <f t="shared" si="22"/>
        <v>0</v>
      </c>
      <c r="G121" s="89"/>
      <c r="H121" s="90" t="str">
        <f t="shared" si="16"/>
        <v>00:00</v>
      </c>
      <c r="I121" s="68"/>
      <c r="J121" s="91" t="str">
        <f t="shared" si="17"/>
        <v>00/01/00 00:00</v>
      </c>
      <c r="K121" s="68"/>
      <c r="L121" s="92">
        <f t="shared" si="20"/>
        <v>0</v>
      </c>
      <c r="M121" s="93">
        <f t="shared" si="21"/>
        <v>7</v>
      </c>
      <c r="N121" s="93">
        <f t="shared" si="23"/>
        <v>14</v>
      </c>
      <c r="O121" s="83"/>
      <c r="P121" s="61"/>
      <c r="Q121" s="71"/>
      <c r="R121" s="68"/>
      <c r="S121" s="64" t="str">
        <f t="shared" si="18"/>
        <v/>
      </c>
      <c r="T121" s="64" t="str">
        <f t="shared" si="19"/>
        <v/>
      </c>
      <c r="U121" s="73"/>
      <c r="V121" s="66"/>
      <c r="W121" s="96" t="s">
        <v>69</v>
      </c>
    </row>
    <row r="122" spans="1:23" ht="21" customHeight="1">
      <c r="A122" s="18"/>
      <c r="B122" s="23"/>
      <c r="C122" s="28"/>
      <c r="D122" s="29"/>
      <c r="E122" s="14"/>
      <c r="F122" s="82">
        <f t="shared" si="22"/>
        <v>0</v>
      </c>
      <c r="G122" s="89"/>
      <c r="H122" s="90" t="str">
        <f t="shared" si="16"/>
        <v>00:00</v>
      </c>
      <c r="I122" s="68"/>
      <c r="J122" s="91" t="str">
        <f t="shared" si="17"/>
        <v>00/01/00 00:00</v>
      </c>
      <c r="K122" s="68"/>
      <c r="L122" s="92">
        <f t="shared" si="20"/>
        <v>0</v>
      </c>
      <c r="M122" s="93">
        <f t="shared" si="21"/>
        <v>7</v>
      </c>
      <c r="N122" s="93">
        <f t="shared" si="23"/>
        <v>14</v>
      </c>
      <c r="O122" s="84"/>
      <c r="P122" s="74"/>
      <c r="Q122" s="75"/>
      <c r="R122" s="68"/>
      <c r="S122" s="64" t="str">
        <f t="shared" si="18"/>
        <v/>
      </c>
      <c r="T122" s="64" t="str">
        <f t="shared" si="19"/>
        <v/>
      </c>
      <c r="U122" s="73"/>
      <c r="V122" s="66"/>
      <c r="W122" s="96" t="s">
        <v>69</v>
      </c>
    </row>
    <row r="123" spans="1:23" ht="21" customHeight="1">
      <c r="A123" s="18"/>
      <c r="B123" s="23"/>
      <c r="C123" s="28"/>
      <c r="D123" s="29"/>
      <c r="E123" s="14"/>
      <c r="F123" s="82">
        <f t="shared" si="22"/>
        <v>0</v>
      </c>
      <c r="G123" s="89"/>
      <c r="H123" s="90" t="str">
        <f t="shared" si="16"/>
        <v>00:00</v>
      </c>
      <c r="I123" s="68"/>
      <c r="J123" s="91" t="str">
        <f t="shared" si="17"/>
        <v>00/01/00 00:00</v>
      </c>
      <c r="K123" s="68"/>
      <c r="L123" s="92">
        <f t="shared" si="20"/>
        <v>0</v>
      </c>
      <c r="M123" s="93">
        <f t="shared" si="21"/>
        <v>7</v>
      </c>
      <c r="N123" s="93">
        <f t="shared" si="23"/>
        <v>14</v>
      </c>
      <c r="O123" s="85"/>
      <c r="P123" s="76"/>
      <c r="Q123" s="71"/>
      <c r="R123" s="68"/>
      <c r="S123" s="64" t="str">
        <f t="shared" si="18"/>
        <v/>
      </c>
      <c r="T123" s="64" t="str">
        <f t="shared" si="19"/>
        <v/>
      </c>
      <c r="U123" s="73"/>
      <c r="V123" s="66"/>
      <c r="W123" s="96" t="s">
        <v>69</v>
      </c>
    </row>
    <row r="124" spans="1:23" ht="21" customHeight="1">
      <c r="A124" s="18"/>
      <c r="B124" s="23"/>
      <c r="C124" s="28"/>
      <c r="D124" s="29"/>
      <c r="E124" s="14"/>
      <c r="F124" s="82">
        <f t="shared" si="22"/>
        <v>0</v>
      </c>
      <c r="G124" s="89"/>
      <c r="H124" s="90" t="str">
        <f t="shared" si="16"/>
        <v>00:00</v>
      </c>
      <c r="I124" s="68"/>
      <c r="J124" s="91" t="str">
        <f t="shared" si="17"/>
        <v>00/01/00 00:00</v>
      </c>
      <c r="K124" s="68"/>
      <c r="L124" s="92">
        <f t="shared" si="20"/>
        <v>0</v>
      </c>
      <c r="M124" s="93">
        <f t="shared" si="21"/>
        <v>7</v>
      </c>
      <c r="N124" s="93">
        <f t="shared" si="23"/>
        <v>14</v>
      </c>
      <c r="O124" s="85"/>
      <c r="P124" s="76"/>
      <c r="Q124" s="71"/>
      <c r="R124" s="68"/>
      <c r="S124" s="64" t="str">
        <f t="shared" si="18"/>
        <v/>
      </c>
      <c r="T124" s="64" t="str">
        <f t="shared" si="19"/>
        <v/>
      </c>
      <c r="U124" s="73"/>
      <c r="V124" s="66"/>
      <c r="W124" s="96" t="s">
        <v>69</v>
      </c>
    </row>
    <row r="125" spans="1:23" ht="21" customHeight="1">
      <c r="A125" s="18"/>
      <c r="B125" s="23"/>
      <c r="C125" s="28"/>
      <c r="D125" s="29"/>
      <c r="E125" s="14"/>
      <c r="F125" s="82">
        <f t="shared" si="22"/>
        <v>0</v>
      </c>
      <c r="G125" s="89"/>
      <c r="H125" s="90" t="str">
        <f t="shared" si="16"/>
        <v>00:00</v>
      </c>
      <c r="I125" s="68"/>
      <c r="J125" s="91" t="str">
        <f t="shared" si="17"/>
        <v>00/01/00 00:00</v>
      </c>
      <c r="K125" s="68"/>
      <c r="L125" s="92">
        <f t="shared" si="20"/>
        <v>0</v>
      </c>
      <c r="M125" s="93">
        <f t="shared" si="21"/>
        <v>7</v>
      </c>
      <c r="N125" s="93">
        <f t="shared" si="23"/>
        <v>14</v>
      </c>
      <c r="O125" s="85"/>
      <c r="P125" s="76"/>
      <c r="Q125" s="71"/>
      <c r="R125" s="68"/>
      <c r="S125" s="64" t="str">
        <f t="shared" si="18"/>
        <v/>
      </c>
      <c r="T125" s="64" t="str">
        <f t="shared" si="19"/>
        <v/>
      </c>
      <c r="U125" s="73"/>
      <c r="V125" s="66"/>
      <c r="W125" s="96" t="s">
        <v>69</v>
      </c>
    </row>
    <row r="126" spans="1:23" ht="21" customHeight="1" thickBot="1">
      <c r="A126" s="40"/>
      <c r="B126" s="41"/>
      <c r="C126" s="42"/>
      <c r="D126" s="43"/>
      <c r="E126" s="44"/>
      <c r="F126" s="45"/>
      <c r="G126" s="46"/>
      <c r="H126" s="88"/>
      <c r="I126" s="46"/>
      <c r="J126" s="46"/>
      <c r="K126" s="46"/>
      <c r="L126" s="80"/>
      <c r="M126" s="47"/>
      <c r="N126" s="47"/>
      <c r="O126" s="48"/>
      <c r="P126" s="48"/>
      <c r="Q126" s="49"/>
      <c r="R126" s="46"/>
      <c r="S126" s="59"/>
      <c r="T126" s="59"/>
      <c r="U126" s="50"/>
      <c r="V126" s="32"/>
    </row>
    <row r="127" spans="1:23" ht="34.5" customHeight="1" thickBot="1">
      <c r="A127" s="99" t="s">
        <v>51</v>
      </c>
      <c r="B127" s="100"/>
      <c r="C127" s="100"/>
      <c r="D127" s="100"/>
      <c r="E127" s="101"/>
      <c r="H127" s="15" t="str">
        <f t="shared" si="16"/>
        <v>00:00</v>
      </c>
      <c r="J127" s="46"/>
      <c r="K127" s="46"/>
      <c r="L127" s="80"/>
      <c r="M127" s="81"/>
      <c r="N127" s="51"/>
      <c r="O127" s="58"/>
      <c r="P127" s="48"/>
      <c r="Q127" s="58"/>
      <c r="R127" s="58"/>
      <c r="S127" s="59"/>
      <c r="T127" s="59"/>
      <c r="U127" s="32"/>
    </row>
    <row r="128" spans="1:23" ht="35.25" customHeight="1">
      <c r="A128" s="55" t="s">
        <v>14</v>
      </c>
      <c r="B128" s="56" t="s">
        <v>15</v>
      </c>
      <c r="C128" s="57" t="s">
        <v>52</v>
      </c>
      <c r="D128" s="102" t="s">
        <v>53</v>
      </c>
      <c r="E128" s="103"/>
      <c r="O128" s="58"/>
      <c r="P128" s="46"/>
      <c r="T128" s="36"/>
    </row>
    <row r="129" spans="1:22" s="32" customFormat="1" ht="20.100000000000001" customHeight="1">
      <c r="A129" s="106">
        <f>IFERROR(SUM(S4:S125)/(COUNTIF(S4:S125,"&gt;0")),"")</f>
        <v>45.531442901227919</v>
      </c>
      <c r="B129" s="110">
        <f>IFERROR(SUM(T4:T125)/(COUNTIF(T4:T125,"&gt;0")),"")</f>
        <v>26.891549844230052</v>
      </c>
      <c r="C129" s="107">
        <v>0.73</v>
      </c>
      <c r="D129" s="108">
        <f>24/$B$129</f>
        <v>0.89247366325186073</v>
      </c>
      <c r="E129" s="109"/>
      <c r="F129" s="34"/>
      <c r="G129" s="35"/>
      <c r="H129" s="35"/>
      <c r="I129" s="35"/>
      <c r="J129" s="35"/>
      <c r="K129" s="35"/>
      <c r="L129" s="35"/>
      <c r="M129" s="35"/>
      <c r="N129" s="35"/>
      <c r="O129" s="58"/>
      <c r="P129" s="46"/>
      <c r="Q129" s="35"/>
      <c r="R129" s="35"/>
      <c r="S129" s="34"/>
      <c r="T129" s="36"/>
      <c r="U129" s="34"/>
      <c r="V129" s="34"/>
    </row>
    <row r="130" spans="1:22" ht="20.100000000000001" customHeight="1">
      <c r="A130" s="106"/>
      <c r="B130" s="110"/>
      <c r="C130" s="107"/>
      <c r="D130" s="108"/>
      <c r="E130" s="109"/>
      <c r="O130" s="58"/>
      <c r="P130" s="48"/>
      <c r="T130" s="36"/>
    </row>
    <row r="131" spans="1:22" ht="20.100000000000001" customHeight="1">
      <c r="A131" s="55" t="s">
        <v>54</v>
      </c>
      <c r="B131" s="57" t="s">
        <v>55</v>
      </c>
      <c r="C131" s="57" t="s">
        <v>56</v>
      </c>
      <c r="D131" s="104" t="s">
        <v>57</v>
      </c>
      <c r="E131" s="105"/>
      <c r="O131" s="58"/>
      <c r="P131" s="48"/>
    </row>
    <row r="132" spans="1:22" s="32" customFormat="1" ht="34.5" customHeight="1" thickBot="1">
      <c r="A132" s="52">
        <f>COUNTA(A4:A125)</f>
        <v>109</v>
      </c>
      <c r="B132" s="53">
        <f>SUM(U4:U125)</f>
        <v>337098.39999999997</v>
      </c>
      <c r="C132" s="54" t="s">
        <v>58</v>
      </c>
      <c r="D132" s="97" t="s">
        <v>59</v>
      </c>
      <c r="E132" s="98"/>
      <c r="F132" s="34"/>
      <c r="G132" s="35"/>
      <c r="H132" s="35"/>
      <c r="I132" s="35"/>
      <c r="J132" s="35"/>
      <c r="K132" s="35"/>
      <c r="L132" s="35"/>
      <c r="M132" s="35"/>
      <c r="N132" s="35"/>
      <c r="O132" s="35"/>
      <c r="P132" s="37"/>
      <c r="Q132" s="35"/>
      <c r="R132" s="35"/>
      <c r="S132" s="34"/>
      <c r="T132" s="34"/>
      <c r="U132" s="34"/>
      <c r="V132" s="34"/>
    </row>
    <row r="133" spans="1:22" ht="20.100000000000001" customHeight="1">
      <c r="P133" s="37"/>
    </row>
    <row r="134" spans="1:22" ht="20.100000000000001" customHeight="1">
      <c r="C134" s="38"/>
      <c r="D134" s="39"/>
    </row>
    <row r="135" spans="1:22" ht="20.100000000000001" customHeight="1">
      <c r="D135" s="39"/>
    </row>
    <row r="145" spans="3:3" ht="20.100000000000001" customHeight="1">
      <c r="C145" s="38"/>
    </row>
  </sheetData>
  <autoFilter ref="A3:V127" xr:uid="{00000000-0009-0000-0000-000000000000}"/>
  <mergeCells count="8">
    <mergeCell ref="D132:E132"/>
    <mergeCell ref="A127:E127"/>
    <mergeCell ref="D128:E128"/>
    <mergeCell ref="D131:E131"/>
    <mergeCell ref="A129:A130"/>
    <mergeCell ref="C129:C130"/>
    <mergeCell ref="D129:E130"/>
    <mergeCell ref="B129:B130"/>
  </mergeCells>
  <conditionalFormatting sqref="L4:L127">
    <cfRule type="cellIs" dxfId="1" priority="2" stopIfTrue="1" operator="lessThanOrEqual">
      <formula>5</formula>
    </cfRule>
  </conditionalFormatting>
  <conditionalFormatting sqref="L4:L127">
    <cfRule type="cellIs" dxfId="0" priority="1" stopIfTrue="1" operator="greaterThan">
      <formula>5</formula>
    </cfRule>
  </conditionalFormatting>
  <dataValidations count="1">
    <dataValidation type="list" allowBlank="1" showErrorMessage="1" sqref="O4:O126" xr:uid="{00000000-0002-0000-0000-000000000000}">
      <formula1>#REF!</formula1>
    </dataValidation>
  </dataValidations>
  <printOptions horizontalCentered="1" verticalCentered="1"/>
  <pageMargins left="0" right="0" top="0" bottom="0" header="0" footer="0"/>
  <pageSetup paperSize="9" scale="44" fitToWidth="0" fitToHeight="0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2644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OUTUBRO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Crespi</dc:creator>
  <cp:lastModifiedBy>Sá Filho</cp:lastModifiedBy>
  <cp:revision>789</cp:revision>
  <dcterms:created xsi:type="dcterms:W3CDTF">2019-11-26T19:58:33Z</dcterms:created>
  <dcterms:modified xsi:type="dcterms:W3CDTF">2020-11-07T13:58:34Z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e2eea901-02f5-42dd-88d6-5c1e4beee717</vt:lpwstr>
  </property>
</Properties>
</file>